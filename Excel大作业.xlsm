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6192\Desktop\Excel作业\"/>
    </mc:Choice>
  </mc:AlternateContent>
  <xr:revisionPtr revIDLastSave="0" documentId="13_ncr:1_{43827243-3C69-4685-80AC-EB675D93AB4D}" xr6:coauthVersionLast="47" xr6:coauthVersionMax="47" xr10:uidLastSave="{00000000-0000-0000-0000-000000000000}"/>
  <bookViews>
    <workbookView xWindow="19095" yWindow="0" windowWidth="19410" windowHeight="20985" xr2:uid="{00000000-000D-0000-FFFF-FFFF00000000}"/>
  </bookViews>
  <sheets>
    <sheet name="原始数据表" sheetId="1" r:id="rId1"/>
    <sheet name="动态数据统计图表" sheetId="3" r:id="rId2"/>
    <sheet name="数据透视表" sheetId="4" r:id="rId3"/>
    <sheet name="模拟运算表" sheetId="5" r:id="rId4"/>
  </sheets>
  <definedNames>
    <definedName name="_xlnm._FilterDatabase" localSheetId="0" hidden="1">原始数据表!$A$81:$M$112</definedName>
    <definedName name="saledata">原始数据表!$J$2:$J$32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2" i="1" l="1" a="1"/>
  <c r="N2" i="1" s="1"/>
  <c r="C4" i="5"/>
  <c r="D2" i="5"/>
  <c r="B7" i="3"/>
  <c r="E6" i="3"/>
  <c r="B6" i="3"/>
  <c r="E5" i="3"/>
  <c r="B5" i="3"/>
  <c r="E4" i="3"/>
  <c r="E3" i="3"/>
  <c r="E2" i="3"/>
  <c r="E7" i="3" s="1"/>
  <c r="E8" i="3" s="1"/>
  <c r="E9" i="3" s="1"/>
  <c r="E10" i="3" s="1"/>
  <c r="E11" i="3" s="1"/>
  <c r="B118" i="1"/>
  <c r="B117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B41" i="1"/>
  <c r="B40" i="1"/>
  <c r="B39" i="1"/>
  <c r="B38" i="1"/>
  <c r="B37" i="1"/>
  <c r="B36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<sst xmlns="http://schemas.openxmlformats.org/spreadsheetml/2006/main" count="647" uniqueCount="143">
  <si>
    <t>订单编号</t>
  </si>
  <si>
    <t>订单日期</t>
  </si>
  <si>
    <t>客户名称</t>
  </si>
  <si>
    <t>所属大区</t>
  </si>
  <si>
    <t>产品类别</t>
  </si>
  <si>
    <t>产品名称</t>
  </si>
  <si>
    <t>销售负责人</t>
  </si>
  <si>
    <t>销售数量</t>
  </si>
  <si>
    <t>单价(元)</t>
  </si>
  <si>
    <t>总销售额(元)</t>
  </si>
  <si>
    <t>总成本(元)</t>
  </si>
  <si>
    <t>利润(元)</t>
  </si>
  <si>
    <t>业绩评级</t>
  </si>
  <si>
    <t>ORD-001</t>
  </si>
  <si>
    <t>王明</t>
  </si>
  <si>
    <t>华北</t>
  </si>
  <si>
    <t>电子产品</t>
  </si>
  <si>
    <t>笔记本电脑</t>
  </si>
  <si>
    <t>张伟</t>
  </si>
  <si>
    <t>ORD-002</t>
  </si>
  <si>
    <t>李红</t>
  </si>
  <si>
    <t>华东</t>
  </si>
  <si>
    <t>家具</t>
  </si>
  <si>
    <t>办公桌</t>
  </si>
  <si>
    <t>王芳</t>
  </si>
  <si>
    <t>ORD-003</t>
  </si>
  <si>
    <t>赵丽</t>
  </si>
  <si>
    <t>华南</t>
  </si>
  <si>
    <t>服装</t>
  </si>
  <si>
    <t>T恤</t>
  </si>
  <si>
    <t>李娜</t>
  </si>
  <si>
    <t>ORD-004</t>
  </si>
  <si>
    <t>陈明</t>
  </si>
  <si>
    <t>西南</t>
  </si>
  <si>
    <t>办公用品</t>
  </si>
  <si>
    <t>打印机</t>
  </si>
  <si>
    <t>刘洋</t>
  </si>
  <si>
    <t>ORD-005</t>
  </si>
  <si>
    <t>刘刚</t>
  </si>
  <si>
    <t>西北</t>
  </si>
  <si>
    <t>食品</t>
  </si>
  <si>
    <t>坚果礼盒</t>
  </si>
  <si>
    <t>陈静</t>
  </si>
  <si>
    <t>ORD-006</t>
  </si>
  <si>
    <t>张丽</t>
  </si>
  <si>
    <t>智能手机</t>
  </si>
  <si>
    <t>ORD-007</t>
  </si>
  <si>
    <t>王强</t>
  </si>
  <si>
    <t>椅子</t>
  </si>
  <si>
    <t>ORD-008</t>
  </si>
  <si>
    <t>李梅</t>
  </si>
  <si>
    <t>连衣裙</t>
  </si>
  <si>
    <t>ORD-009</t>
  </si>
  <si>
    <t>赵强</t>
  </si>
  <si>
    <t>平板电脑</t>
  </si>
  <si>
    <t>ORD-010</t>
  </si>
  <si>
    <t>复印纸</t>
  </si>
  <si>
    <t>ORD-011</t>
  </si>
  <si>
    <t>王磊</t>
  </si>
  <si>
    <t>咖啡礼盒</t>
  </si>
  <si>
    <t>ORD-012</t>
  </si>
  <si>
    <t>李霞</t>
  </si>
  <si>
    <t>台式电脑</t>
  </si>
  <si>
    <t>ORD-013</t>
  </si>
  <si>
    <t>赵磊</t>
  </si>
  <si>
    <t>文件柜</t>
  </si>
  <si>
    <t>ORD-014</t>
  </si>
  <si>
    <t>陈华</t>
  </si>
  <si>
    <t>羽绒服</t>
  </si>
  <si>
    <t>ORD-015</t>
  </si>
  <si>
    <t>刘娜</t>
  </si>
  <si>
    <t>智能手表</t>
  </si>
  <si>
    <t>ORD-016</t>
  </si>
  <si>
    <t>王凯</t>
  </si>
  <si>
    <t>硒鼓</t>
  </si>
  <si>
    <t>ORD-017</t>
  </si>
  <si>
    <t>李洋</t>
  </si>
  <si>
    <t>巧克力礼盒</t>
  </si>
  <si>
    <t>ORD-018</t>
  </si>
  <si>
    <t>赵静</t>
  </si>
  <si>
    <t>沙发</t>
  </si>
  <si>
    <t>ORD-019</t>
  </si>
  <si>
    <t>陈龙</t>
  </si>
  <si>
    <t>耳机</t>
  </si>
  <si>
    <t>ORD-020</t>
  </si>
  <si>
    <t>牛仔裤</t>
  </si>
  <si>
    <t>ORD-021</t>
  </si>
  <si>
    <t>显示器</t>
  </si>
  <si>
    <t>ORD-022</t>
  </si>
  <si>
    <t>李明</t>
  </si>
  <si>
    <t>书柜</t>
  </si>
  <si>
    <t>ORD-023</t>
  </si>
  <si>
    <t>赵霞</t>
  </si>
  <si>
    <t>订书机</t>
  </si>
  <si>
    <t>ORD-024</t>
  </si>
  <si>
    <t>陈平</t>
  </si>
  <si>
    <t>茶叶礼盒</t>
  </si>
  <si>
    <t>ORD-025</t>
  </si>
  <si>
    <t>刘红</t>
  </si>
  <si>
    <t>相机</t>
  </si>
  <si>
    <t>ORD-026</t>
  </si>
  <si>
    <t>运动鞋</t>
  </si>
  <si>
    <t>ORD-027</t>
  </si>
  <si>
    <t>李芳</t>
  </si>
  <si>
    <t>键盘</t>
  </si>
  <si>
    <t>ORD-028</t>
  </si>
  <si>
    <t>赵刚</t>
  </si>
  <si>
    <t>餐桌</t>
  </si>
  <si>
    <t>ORD-029</t>
  </si>
  <si>
    <t>陈洁</t>
  </si>
  <si>
    <t>投影仪</t>
  </si>
  <si>
    <t>ORD-030</t>
  </si>
  <si>
    <t>刘伟</t>
  </si>
  <si>
    <t>西装</t>
  </si>
  <si>
    <t>ORD-031</t>
  </si>
  <si>
    <t>王新</t>
  </si>
  <si>
    <t>路由器</t>
  </si>
  <si>
    <t>总销售额</t>
  </si>
  <si>
    <t>平均销售额</t>
  </si>
  <si>
    <t>最高销售额</t>
  </si>
  <si>
    <t>最低销售额</t>
  </si>
  <si>
    <t>订单数量</t>
  </si>
  <si>
    <t>某地区订单数</t>
  </si>
  <si>
    <t>筛选条件</t>
  </si>
  <si>
    <t>华北+优秀</t>
  </si>
  <si>
    <t>名称管理器</t>
  </si>
  <si>
    <t>销售订单查询系统</t>
  </si>
  <si>
    <t>负责销售人</t>
  </si>
  <si>
    <t>请选择订单编号：</t>
  </si>
  <si>
    <t>总销售额（元）</t>
  </si>
  <si>
    <t>平均</t>
  </si>
  <si>
    <t>(全部)</t>
  </si>
  <si>
    <t>求和项:总销售额(元)</t>
  </si>
  <si>
    <t>列标签</t>
  </si>
  <si>
    <t>行标签</t>
  </si>
  <si>
    <t>总计</t>
  </si>
  <si>
    <t>销售数量与单价对总销售额的影响分析</t>
  </si>
  <si>
    <t>输入变量区</t>
  </si>
  <si>
    <t>← 销售数量
（列变量）</t>
  </si>
  <si>
    <t>单价（行变量）→</t>
  </si>
  <si>
    <t>公式 →</t>
  </si>
  <si>
    <t>ORD-001</t>
    <phoneticPr fontId="2" type="noConversion"/>
  </si>
  <si>
    <t>提成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</si>
</sst>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0"/>
      <color theme="1"/>
      <name val="微软雅黑"/>
      <family val="2"/>
      <charset val="134"/>
    </font>
    <font>
      <b/>
      <sz val="11"/>
      <color rgb="FF0000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0"/>
      <name val="Arial"/>
      <family val="2"/>
    </font>
    <font>
      <i/>
      <sz val="10"/>
      <color rgb="FF666666"/>
      <name val="Arial"/>
      <family val="2"/>
    </font>
    <font>
      <b/>
      <sz val="11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name val="Arial"/>
      <family val="2"/>
    </font>
    <font>
      <i/>
      <sz val="9"/>
      <color rgb="FF666666"/>
      <name val="Arial"/>
      <family val="2"/>
    </font>
    <font>
      <b/>
      <sz val="11"/>
      <color rgb="FFC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D9E2F3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4" fontId="3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pivotButton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/>
    <xf numFmtId="0" fontId="9" fillId="0" borderId="0" xfId="0" applyFont="1" applyAlignment="1">
      <alignment horizontal="center"/>
    </xf>
    <xf numFmtId="0" fontId="10" fillId="0" borderId="0" xfId="0" applyFont="1" applyAlignme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13" fillId="2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0" fillId="0" borderId="1" xfId="0" applyBorder="1" applyAlignment="1"/>
    <xf numFmtId="0" fontId="15" fillId="0" borderId="0" xfId="0" applyFont="1" applyAlignment="1"/>
    <xf numFmtId="0" fontId="16" fillId="0" borderId="0" xfId="0" applyFont="1" applyAlignment="1"/>
    <xf numFmtId="0" fontId="14" fillId="0" borderId="0" xfId="0" applyFont="1" applyAlignment="1">
      <alignment horizontal="center" wrapText="1"/>
    </xf>
    <xf numFmtId="0" fontId="0" fillId="0" borderId="0" xfId="0" applyAlignment="1"/>
    <xf numFmtId="0" fontId="1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900"/>
              <a:t>平均值 </a:t>
            </a:r>
            <a:r>
              <a:rPr lang="en-US" altLang="zh-CN" sz="900"/>
              <a:t>46718</a:t>
            </a:r>
            <a:endParaRPr lang="zh-CN" altLang="en-US" sz="900"/>
          </a:p>
        </c:rich>
      </c:tx>
      <c:layout>
        <c:manualLayout>
          <c:xMode val="edge"/>
          <c:yMode val="edge"/>
          <c:x val="0.39444444444444443"/>
          <c:y val="0.30555555555555558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动态数据统计图表!$E$1</c:f>
              <c:strCache>
                <c:ptCount val="1"/>
                <c:pt idx="0">
                  <c:v>总销售额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动态数据统计图表!$D$2:$D$6</c:f>
              <c:strCache>
                <c:ptCount val="5"/>
                <c:pt idx="0">
                  <c:v>张伟</c:v>
                </c:pt>
                <c:pt idx="1">
                  <c:v>王芳</c:v>
                </c:pt>
                <c:pt idx="2">
                  <c:v>李娜</c:v>
                </c:pt>
                <c:pt idx="3">
                  <c:v>刘洋</c:v>
                </c:pt>
                <c:pt idx="4">
                  <c:v>陈静</c:v>
                </c:pt>
              </c:strCache>
            </c:strRef>
          </c:cat>
          <c:val>
            <c:numRef>
              <c:f>动态数据统计图表!$E$2:$E$6</c:f>
              <c:numCache>
                <c:formatCode>General</c:formatCode>
                <c:ptCount val="5"/>
                <c:pt idx="0">
                  <c:v>66200</c:v>
                </c:pt>
                <c:pt idx="1">
                  <c:v>48750</c:v>
                </c:pt>
                <c:pt idx="2">
                  <c:v>30100</c:v>
                </c:pt>
                <c:pt idx="3">
                  <c:v>43540</c:v>
                </c:pt>
                <c:pt idx="4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D3-4F87-B78F-C9451BA938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52983519"/>
        <c:axId val="1052987839"/>
      </c:barChart>
      <c:lineChart>
        <c:grouping val="standard"/>
        <c:varyColors val="0"/>
        <c:ser>
          <c:idx val="1"/>
          <c:order val="1"/>
          <c:tx>
            <c:v>平均值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val>
            <c:numRef>
              <c:f>动态数据统计图表!$E$7:$E$12</c:f>
              <c:numCache>
                <c:formatCode>General</c:formatCode>
                <c:ptCount val="6"/>
                <c:pt idx="0">
                  <c:v>46718</c:v>
                </c:pt>
                <c:pt idx="1">
                  <c:v>46718</c:v>
                </c:pt>
                <c:pt idx="2">
                  <c:v>46718</c:v>
                </c:pt>
                <c:pt idx="3">
                  <c:v>46718</c:v>
                </c:pt>
                <c:pt idx="4">
                  <c:v>46718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D3-4F87-B78F-C9451BA938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52983519"/>
        <c:axId val="1052987839"/>
      </c:lineChart>
      <c:catAx>
        <c:axId val="105298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2987839"/>
        <c:crosses val="autoZero"/>
        <c:auto val="1"/>
        <c:lblAlgn val="ctr"/>
        <c:lblOffset val="100"/>
        <c:noMultiLvlLbl val="0"/>
      </c:catAx>
      <c:valAx>
        <c:axId val="105298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2983519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10</xdr:row>
      <xdr:rowOff>71437</xdr:rowOff>
    </xdr:from>
    <xdr:to>
      <xdr:col>6</xdr:col>
      <xdr:colOff>333375</xdr:colOff>
      <xdr:row>26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许宁" refreshedDate="46217.605518750002" createdVersion="8" refreshedVersion="8" minRefreshableVersion="3" recordCount="31" xr:uid="{00000000-000A-0000-FFFF-FFFF0F000000}">
  <cacheSource type="worksheet">
    <worksheetSource ref="A1:M32" sheet="原始数据表"/>
  </cacheSource>
  <cacheFields count="13">
    <cacheField name="订单编号" numFmtId="0">
      <sharedItems/>
    </cacheField>
    <cacheField name="订单日期" numFmtId="14">
      <sharedItems containsSemiMixedTypes="0" containsNonDate="0" containsDate="1" containsString="0" minDate="2025-01-05T00:00:00" maxDate="2025-06-02T00:00:00"/>
    </cacheField>
    <cacheField name="客户名称" numFmtId="0">
      <sharedItems/>
    </cacheField>
    <cacheField name="所属大区" numFmtId="0">
      <sharedItems count="5">
        <s v="华北"/>
        <s v="华东"/>
        <s v="华南"/>
        <s v="西南"/>
        <s v="西北"/>
      </sharedItems>
    </cacheField>
    <cacheField name="产品类别" numFmtId="0">
      <sharedItems count="5">
        <s v="电子产品"/>
        <s v="家具"/>
        <s v="服装"/>
        <s v="办公用品"/>
        <s v="食品"/>
      </sharedItems>
    </cacheField>
    <cacheField name="产品名称" numFmtId="0">
      <sharedItems/>
    </cacheField>
    <cacheField name="销售负责人" numFmtId="0">
      <sharedItems count="5">
        <s v="张伟"/>
        <s v="王芳"/>
        <s v="李娜"/>
        <s v="刘洋"/>
        <s v="陈静"/>
      </sharedItems>
    </cacheField>
    <cacheField name="销售数量" numFmtId="0">
      <sharedItems containsSemiMixedTypes="0" containsString="0" containsNumber="1" containsInteger="1" minValue="1" maxValue="100"/>
    </cacheField>
    <cacheField name="单价(元)" numFmtId="0">
      <sharedItems containsSemiMixedTypes="0" containsString="0" containsNumber="1" containsInteger="1" minValue="20" maxValue="8000"/>
    </cacheField>
    <cacheField name="总销售额(元)" numFmtId="0">
      <sharedItems containsSemiMixedTypes="0" containsString="0" containsNumber="1" containsInteger="1" minValue="1800" maxValue="27500"/>
    </cacheField>
    <cacheField name="总成本(元)" numFmtId="0">
      <sharedItems containsSemiMixedTypes="0" containsString="0" containsNumber="1" containsInteger="1" minValue="1200" maxValue="20000"/>
    </cacheField>
    <cacheField name="利润(元)" numFmtId="0">
      <sharedItems containsSemiMixedTypes="0" containsString="0" containsNumber="1" containsInteger="1" minValue="600" maxValue="7500"/>
    </cacheField>
    <cacheField name="业绩评级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31">
  <r>
    <s v="ORD-001"/>
    <d v="2025-01-05T00:00:00"/>
    <s v="王明"/>
    <x v="0"/>
    <x v="0"/>
    <s v="笔记本电脑"/>
    <x v="0"/>
    <n v="5"/>
    <n v="5500"/>
    <n v="27500"/>
    <n v="20000"/>
    <n v="7500"/>
    <s v="优秀"/>
  </r>
  <r>
    <s v="ORD-002"/>
    <d v="2025-01-07T00:00:00"/>
    <s v="李红"/>
    <x v="1"/>
    <x v="1"/>
    <s v="办公桌"/>
    <x v="1"/>
    <n v="10"/>
    <n v="1200"/>
    <n v="12000"/>
    <n v="9000"/>
    <n v="3000"/>
    <s v="良好"/>
  </r>
  <r>
    <s v="ORD-003"/>
    <d v="2025-01-10T00:00:00"/>
    <s v="赵丽"/>
    <x v="2"/>
    <x v="2"/>
    <s v="T恤"/>
    <x v="2"/>
    <n v="50"/>
    <n v="80"/>
    <n v="4000"/>
    <n v="3000"/>
    <n v="1000"/>
    <s v="待提升"/>
  </r>
  <r>
    <s v="ORD-004"/>
    <d v="2025-01-12T00:00:00"/>
    <s v="陈明"/>
    <x v="3"/>
    <x v="3"/>
    <s v="打印机"/>
    <x v="3"/>
    <n v="3"/>
    <n v="1500"/>
    <n v="4500"/>
    <n v="3200"/>
    <n v="1300"/>
    <s v="待提升"/>
  </r>
  <r>
    <s v="ORD-005"/>
    <d v="2025-01-15T00:00:00"/>
    <s v="刘刚"/>
    <x v="4"/>
    <x v="4"/>
    <s v="坚果礼盒"/>
    <x v="4"/>
    <n v="20"/>
    <n v="200"/>
    <n v="4000"/>
    <n v="2800"/>
    <n v="1200"/>
    <s v="待提升"/>
  </r>
  <r>
    <s v="ORD-006"/>
    <d v="2025-01-18T00:00:00"/>
    <s v="张丽"/>
    <x v="0"/>
    <x v="0"/>
    <s v="智能手机"/>
    <x v="0"/>
    <n v="8"/>
    <n v="3000"/>
    <n v="24000"/>
    <n v="18000"/>
    <n v="6000"/>
    <s v="优秀"/>
  </r>
  <r>
    <s v="ORD-007"/>
    <d v="2025-01-20T00:00:00"/>
    <s v="王强"/>
    <x v="1"/>
    <x v="1"/>
    <s v="椅子"/>
    <x v="1"/>
    <n v="15"/>
    <n v="500"/>
    <n v="7500"/>
    <n v="5500"/>
    <n v="2000"/>
    <s v="中等"/>
  </r>
  <r>
    <s v="ORD-008"/>
    <d v="2025-02-01T00:00:00"/>
    <s v="李梅"/>
    <x v="2"/>
    <x v="2"/>
    <s v="连衣裙"/>
    <x v="2"/>
    <n v="30"/>
    <n v="150"/>
    <n v="4500"/>
    <n v="3200"/>
    <n v="1300"/>
    <s v="待提升"/>
  </r>
  <r>
    <s v="ORD-009"/>
    <d v="2025-02-03T00:00:00"/>
    <s v="赵强"/>
    <x v="3"/>
    <x v="0"/>
    <s v="平板电脑"/>
    <x v="3"/>
    <n v="6"/>
    <n v="2800"/>
    <n v="16800"/>
    <n v="12000"/>
    <n v="4800"/>
    <s v="优秀"/>
  </r>
  <r>
    <s v="ORD-010"/>
    <d v="2025-02-06T00:00:00"/>
    <s v="陈静"/>
    <x v="4"/>
    <x v="3"/>
    <s v="复印纸"/>
    <x v="4"/>
    <n v="100"/>
    <n v="25"/>
    <n v="2500"/>
    <n v="1800"/>
    <n v="700"/>
    <s v="待提升"/>
  </r>
  <r>
    <s v="ORD-011"/>
    <d v="2025-02-10T00:00:00"/>
    <s v="王磊"/>
    <x v="0"/>
    <x v="4"/>
    <s v="咖啡礼盒"/>
    <x v="0"/>
    <n v="12"/>
    <n v="150"/>
    <n v="1800"/>
    <n v="1200"/>
    <n v="600"/>
    <s v="待提升"/>
  </r>
  <r>
    <s v="ORD-012"/>
    <d v="2025-02-14T00:00:00"/>
    <s v="李霞"/>
    <x v="1"/>
    <x v="0"/>
    <s v="台式电脑"/>
    <x v="1"/>
    <n v="4"/>
    <n v="4500"/>
    <n v="18000"/>
    <n v="13000"/>
    <n v="5000"/>
    <s v="优秀"/>
  </r>
  <r>
    <s v="ORD-013"/>
    <d v="2025-02-18T00:00:00"/>
    <s v="赵磊"/>
    <x v="2"/>
    <x v="1"/>
    <s v="文件柜"/>
    <x v="2"/>
    <n v="7"/>
    <n v="800"/>
    <n v="5600"/>
    <n v="4000"/>
    <n v="1600"/>
    <s v="待提升"/>
  </r>
  <r>
    <s v="ORD-014"/>
    <d v="2025-02-20T00:00:00"/>
    <s v="陈华"/>
    <x v="3"/>
    <x v="2"/>
    <s v="羽绒服"/>
    <x v="3"/>
    <n v="25"/>
    <n v="200"/>
    <n v="5000"/>
    <n v="3500"/>
    <n v="1500"/>
    <s v="待提升"/>
  </r>
  <r>
    <s v="ORD-015"/>
    <d v="2025-03-02T00:00:00"/>
    <s v="刘娜"/>
    <x v="4"/>
    <x v="0"/>
    <s v="智能手表"/>
    <x v="4"/>
    <n v="15"/>
    <n v="1500"/>
    <n v="22500"/>
    <n v="16000"/>
    <n v="6500"/>
    <s v="优秀"/>
  </r>
  <r>
    <s v="ORD-016"/>
    <d v="2025-03-05T00:00:00"/>
    <s v="王凯"/>
    <x v="0"/>
    <x v="3"/>
    <s v="硒鼓"/>
    <x v="0"/>
    <n v="20"/>
    <n v="100"/>
    <n v="2000"/>
    <n v="1400"/>
    <n v="600"/>
    <s v="待提升"/>
  </r>
  <r>
    <s v="ORD-017"/>
    <d v="2025-03-08T00:00:00"/>
    <s v="李洋"/>
    <x v="1"/>
    <x v="4"/>
    <s v="巧克力礼盒"/>
    <x v="1"/>
    <n v="60"/>
    <n v="50"/>
    <n v="3000"/>
    <n v="2000"/>
    <n v="1000"/>
    <s v="待提升"/>
  </r>
  <r>
    <s v="ORD-018"/>
    <d v="2025-03-12T00:00:00"/>
    <s v="赵静"/>
    <x v="2"/>
    <x v="1"/>
    <s v="沙发"/>
    <x v="2"/>
    <n v="2"/>
    <n v="3000"/>
    <n v="6000"/>
    <n v="4500"/>
    <n v="1500"/>
    <s v="中等"/>
  </r>
  <r>
    <s v="ORD-019"/>
    <d v="2025-03-15T00:00:00"/>
    <s v="陈龙"/>
    <x v="3"/>
    <x v="0"/>
    <s v="耳机"/>
    <x v="3"/>
    <n v="30"/>
    <n v="300"/>
    <n v="9000"/>
    <n v="6500"/>
    <n v="2500"/>
    <s v="中等"/>
  </r>
  <r>
    <s v="ORD-020"/>
    <d v="2025-03-18T00:00:00"/>
    <s v="刘洋"/>
    <x v="4"/>
    <x v="2"/>
    <s v="牛仔裤"/>
    <x v="4"/>
    <n v="40"/>
    <n v="100"/>
    <n v="4000"/>
    <n v="2800"/>
    <n v="1200"/>
    <s v="待提升"/>
  </r>
  <r>
    <s v="ORD-021"/>
    <d v="2025-04-01T00:00:00"/>
    <s v="王芳"/>
    <x v="0"/>
    <x v="0"/>
    <s v="显示器"/>
    <x v="0"/>
    <n v="5"/>
    <n v="1200"/>
    <n v="6000"/>
    <n v="4200"/>
    <n v="1800"/>
    <s v="中等"/>
  </r>
  <r>
    <s v="ORD-022"/>
    <d v="2025-04-05T00:00:00"/>
    <s v="李明"/>
    <x v="1"/>
    <x v="1"/>
    <s v="书柜"/>
    <x v="1"/>
    <n v="3"/>
    <n v="1500"/>
    <n v="4500"/>
    <n v="3200"/>
    <n v="1300"/>
    <s v="待提升"/>
  </r>
  <r>
    <s v="ORD-023"/>
    <d v="2025-04-08T00:00:00"/>
    <s v="赵霞"/>
    <x v="2"/>
    <x v="3"/>
    <s v="订书机"/>
    <x v="2"/>
    <n v="100"/>
    <n v="20"/>
    <n v="2000"/>
    <n v="1400"/>
    <n v="600"/>
    <s v="待提升"/>
  </r>
  <r>
    <s v="ORD-024"/>
    <d v="2025-04-12T00:00:00"/>
    <s v="陈平"/>
    <x v="3"/>
    <x v="4"/>
    <s v="茶叶礼盒"/>
    <x v="3"/>
    <n v="18"/>
    <n v="180"/>
    <n v="3240"/>
    <n v="2200"/>
    <n v="1040"/>
    <s v="待提升"/>
  </r>
  <r>
    <s v="ORD-025"/>
    <d v="2025-04-15T00:00:00"/>
    <s v="刘红"/>
    <x v="4"/>
    <x v="0"/>
    <s v="相机"/>
    <x v="4"/>
    <n v="1"/>
    <n v="8000"/>
    <n v="8000"/>
    <n v="6000"/>
    <n v="2000"/>
    <s v="中等"/>
  </r>
  <r>
    <s v="ORD-026"/>
    <d v="2025-04-20T00:00:00"/>
    <s v="王强"/>
    <x v="0"/>
    <x v="2"/>
    <s v="运动鞋"/>
    <x v="0"/>
    <n v="10"/>
    <n v="250"/>
    <n v="2500"/>
    <n v="1800"/>
    <n v="700"/>
    <s v="待提升"/>
  </r>
  <r>
    <s v="ORD-027"/>
    <d v="2025-05-05T00:00:00"/>
    <s v="李芳"/>
    <x v="1"/>
    <x v="0"/>
    <s v="键盘"/>
    <x v="1"/>
    <n v="25"/>
    <n v="150"/>
    <n v="3750"/>
    <n v="2600"/>
    <n v="1150"/>
    <s v="待提升"/>
  </r>
  <r>
    <s v="ORD-028"/>
    <d v="2025-05-10T00:00:00"/>
    <s v="赵刚"/>
    <x v="2"/>
    <x v="1"/>
    <s v="餐桌"/>
    <x v="2"/>
    <n v="4"/>
    <n v="2000"/>
    <n v="8000"/>
    <n v="5800"/>
    <n v="2200"/>
    <s v="中等"/>
  </r>
  <r>
    <s v="ORD-029"/>
    <d v="2025-05-15T00:00:00"/>
    <s v="陈洁"/>
    <x v="3"/>
    <x v="3"/>
    <s v="投影仪"/>
    <x v="3"/>
    <n v="2"/>
    <n v="2500"/>
    <n v="5000"/>
    <n v="3600"/>
    <n v="1400"/>
    <s v="待提升"/>
  </r>
  <r>
    <s v="ORD-030"/>
    <d v="2025-05-20T00:00:00"/>
    <s v="刘伟"/>
    <x v="4"/>
    <x v="2"/>
    <s v="西装"/>
    <x v="4"/>
    <n v="8"/>
    <n v="500"/>
    <n v="4000"/>
    <n v="2800"/>
    <n v="1200"/>
    <s v="待提升"/>
  </r>
  <r>
    <s v="ORD-031"/>
    <d v="2025-06-01T00:00:00"/>
    <s v="王新"/>
    <x v="0"/>
    <x v="0"/>
    <s v="路由器"/>
    <x v="0"/>
    <n v="12"/>
    <n v="200"/>
    <n v="2400"/>
    <n v="1600"/>
    <n v="800"/>
    <s v="待提升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5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G10" firstHeaderRow="1" firstDataRow="2" firstDataCol="1" rowPageCount="1" colPageCount="1"/>
  <pivotFields count="13">
    <pivotField showAll="0"/>
    <pivotField numFmtId="14" showAll="0"/>
    <pivotField showAll="0"/>
    <pivotField axis="axisRow" showAll="0">
      <items count="6">
        <item x="0"/>
        <item x="1"/>
        <item x="2"/>
        <item x="4"/>
        <item x="3"/>
        <item t="default"/>
      </items>
    </pivotField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6">
        <item x="4"/>
        <item x="2"/>
        <item x="3"/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求和项:总销售额(元)" fld="9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N118"/>
  <sheetViews>
    <sheetView tabSelected="1" workbookViewId="0">
      <selection activeCell="O11" sqref="O11"/>
    </sheetView>
  </sheetViews>
  <sheetFormatPr defaultColWidth="9" defaultRowHeight="13.5" x14ac:dyDescent="0.15"/>
  <cols>
    <col min="1" max="1" width="11.875" style="16" customWidth="1"/>
    <col min="2" max="2" width="11.5" style="16" customWidth="1"/>
    <col min="6" max="6" width="10.5" style="16" customWidth="1"/>
  </cols>
  <sheetData>
    <row r="1" spans="1:14" ht="27" customHeight="1" x14ac:dyDescent="0.15">
      <c r="A1" s="5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8" t="s">
        <v>12</v>
      </c>
      <c r="N1" s="29" t="s">
        <v>142</v>
      </c>
    </row>
    <row r="2" spans="1:14" ht="12.75" customHeight="1" x14ac:dyDescent="0.15">
      <c r="A2" s="2" t="s">
        <v>13</v>
      </c>
      <c r="B2" s="3">
        <v>45662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>
        <v>5</v>
      </c>
      <c r="I2" s="2">
        <v>5500</v>
      </c>
      <c r="J2" s="2">
        <v>27500</v>
      </c>
      <c r="K2" s="2">
        <v>20000</v>
      </c>
      <c r="L2" s="2">
        <v>7500</v>
      </c>
      <c r="M2" s="15" t="str">
        <f t="shared" ref="M2:M32" si="0">IF(J2&gt;=15000,"优秀",IF(J2&gt;=10000,"良好",IF(J2&gt;=6000,"中等","待提升")))</f>
        <v>优秀</v>
      </c>
      <c r="N2" t="e" cm="1">
        <f t="array" aca="1" ref="N2" ca="1">Commission(J2)</f>
        <v>#NAME?</v>
      </c>
    </row>
    <row r="3" spans="1:14" x14ac:dyDescent="0.15">
      <c r="A3" s="2" t="s">
        <v>19</v>
      </c>
      <c r="B3" s="3">
        <v>45664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>
        <v>10</v>
      </c>
      <c r="I3" s="2">
        <v>1200</v>
      </c>
      <c r="J3" s="2">
        <v>12000</v>
      </c>
      <c r="K3" s="2">
        <v>9000</v>
      </c>
      <c r="L3" s="2">
        <v>3000</v>
      </c>
      <c r="M3" s="15" t="str">
        <f t="shared" si="0"/>
        <v>良好</v>
      </c>
    </row>
    <row r="4" spans="1:14" x14ac:dyDescent="0.15">
      <c r="A4" s="2" t="s">
        <v>25</v>
      </c>
      <c r="B4" s="3">
        <v>45667</v>
      </c>
      <c r="C4" s="2" t="s">
        <v>26</v>
      </c>
      <c r="D4" s="2" t="s">
        <v>27</v>
      </c>
      <c r="E4" s="2" t="s">
        <v>28</v>
      </c>
      <c r="F4" s="2" t="s">
        <v>29</v>
      </c>
      <c r="G4" s="2" t="s">
        <v>30</v>
      </c>
      <c r="H4" s="2">
        <v>50</v>
      </c>
      <c r="I4" s="2">
        <v>80</v>
      </c>
      <c r="J4" s="2">
        <v>4000</v>
      </c>
      <c r="K4" s="2">
        <v>3000</v>
      </c>
      <c r="L4" s="2">
        <v>1000</v>
      </c>
      <c r="M4" s="15" t="str">
        <f t="shared" si="0"/>
        <v>待提升</v>
      </c>
    </row>
    <row r="5" spans="1:14" x14ac:dyDescent="0.15">
      <c r="A5" s="2" t="s">
        <v>31</v>
      </c>
      <c r="B5" s="3">
        <v>45669</v>
      </c>
      <c r="C5" s="2" t="s">
        <v>32</v>
      </c>
      <c r="D5" s="2" t="s">
        <v>33</v>
      </c>
      <c r="E5" s="2" t="s">
        <v>34</v>
      </c>
      <c r="F5" s="2" t="s">
        <v>35</v>
      </c>
      <c r="G5" s="2" t="s">
        <v>36</v>
      </c>
      <c r="H5" s="2">
        <v>3</v>
      </c>
      <c r="I5" s="2">
        <v>1500</v>
      </c>
      <c r="J5" s="2">
        <v>4500</v>
      </c>
      <c r="K5" s="2">
        <v>3200</v>
      </c>
      <c r="L5" s="2">
        <v>1300</v>
      </c>
      <c r="M5" s="15" t="str">
        <f t="shared" si="0"/>
        <v>待提升</v>
      </c>
    </row>
    <row r="6" spans="1:14" x14ac:dyDescent="0.15">
      <c r="A6" s="2" t="s">
        <v>37</v>
      </c>
      <c r="B6" s="3">
        <v>45672</v>
      </c>
      <c r="C6" s="2" t="s">
        <v>38</v>
      </c>
      <c r="D6" s="2" t="s">
        <v>39</v>
      </c>
      <c r="E6" s="2" t="s">
        <v>40</v>
      </c>
      <c r="F6" s="2" t="s">
        <v>41</v>
      </c>
      <c r="G6" s="2" t="s">
        <v>42</v>
      </c>
      <c r="H6" s="2">
        <v>20</v>
      </c>
      <c r="I6" s="2">
        <v>200</v>
      </c>
      <c r="J6" s="2">
        <v>4000</v>
      </c>
      <c r="K6" s="2">
        <v>2800</v>
      </c>
      <c r="L6" s="2">
        <v>1200</v>
      </c>
      <c r="M6" s="15" t="str">
        <f t="shared" si="0"/>
        <v>待提升</v>
      </c>
    </row>
    <row r="7" spans="1:14" x14ac:dyDescent="0.15">
      <c r="A7" s="2" t="s">
        <v>43</v>
      </c>
      <c r="B7" s="3">
        <v>45675</v>
      </c>
      <c r="C7" s="2" t="s">
        <v>44</v>
      </c>
      <c r="D7" s="2" t="s">
        <v>15</v>
      </c>
      <c r="E7" s="2" t="s">
        <v>16</v>
      </c>
      <c r="F7" s="2" t="s">
        <v>45</v>
      </c>
      <c r="G7" s="2" t="s">
        <v>18</v>
      </c>
      <c r="H7" s="2">
        <v>8</v>
      </c>
      <c r="I7" s="2">
        <v>3000</v>
      </c>
      <c r="J7" s="2">
        <v>24000</v>
      </c>
      <c r="K7" s="2">
        <v>18000</v>
      </c>
      <c r="L7" s="2">
        <v>6000</v>
      </c>
      <c r="M7" s="15" t="str">
        <f t="shared" si="0"/>
        <v>优秀</v>
      </c>
    </row>
    <row r="8" spans="1:14" x14ac:dyDescent="0.15">
      <c r="A8" s="2" t="s">
        <v>46</v>
      </c>
      <c r="B8" s="3">
        <v>45677</v>
      </c>
      <c r="C8" s="2" t="s">
        <v>47</v>
      </c>
      <c r="D8" s="2" t="s">
        <v>21</v>
      </c>
      <c r="E8" s="2" t="s">
        <v>22</v>
      </c>
      <c r="F8" s="2" t="s">
        <v>48</v>
      </c>
      <c r="G8" s="2" t="s">
        <v>24</v>
      </c>
      <c r="H8" s="2">
        <v>15</v>
      </c>
      <c r="I8" s="2">
        <v>500</v>
      </c>
      <c r="J8" s="2">
        <v>7500</v>
      </c>
      <c r="K8" s="2">
        <v>5500</v>
      </c>
      <c r="L8" s="2">
        <v>2000</v>
      </c>
      <c r="M8" s="15" t="str">
        <f t="shared" si="0"/>
        <v>中等</v>
      </c>
    </row>
    <row r="9" spans="1:14" x14ac:dyDescent="0.15">
      <c r="A9" s="2" t="s">
        <v>49</v>
      </c>
      <c r="B9" s="3">
        <v>45689</v>
      </c>
      <c r="C9" s="2" t="s">
        <v>50</v>
      </c>
      <c r="D9" s="2" t="s">
        <v>27</v>
      </c>
      <c r="E9" s="2" t="s">
        <v>28</v>
      </c>
      <c r="F9" s="2" t="s">
        <v>51</v>
      </c>
      <c r="G9" s="2" t="s">
        <v>30</v>
      </c>
      <c r="H9" s="2">
        <v>30</v>
      </c>
      <c r="I9" s="2">
        <v>150</v>
      </c>
      <c r="J9" s="2">
        <v>4500</v>
      </c>
      <c r="K9" s="2">
        <v>3200</v>
      </c>
      <c r="L9" s="2">
        <v>1300</v>
      </c>
      <c r="M9" s="15" t="str">
        <f t="shared" si="0"/>
        <v>待提升</v>
      </c>
    </row>
    <row r="10" spans="1:14" x14ac:dyDescent="0.15">
      <c r="A10" s="2" t="s">
        <v>52</v>
      </c>
      <c r="B10" s="3">
        <v>45691</v>
      </c>
      <c r="C10" s="2" t="s">
        <v>53</v>
      </c>
      <c r="D10" s="2" t="s">
        <v>33</v>
      </c>
      <c r="E10" s="2" t="s">
        <v>16</v>
      </c>
      <c r="F10" s="2" t="s">
        <v>54</v>
      </c>
      <c r="G10" s="2" t="s">
        <v>36</v>
      </c>
      <c r="H10" s="2">
        <v>6</v>
      </c>
      <c r="I10" s="2">
        <v>2800</v>
      </c>
      <c r="J10" s="2">
        <v>16800</v>
      </c>
      <c r="K10" s="2">
        <v>12000</v>
      </c>
      <c r="L10" s="2">
        <v>4800</v>
      </c>
      <c r="M10" s="15" t="str">
        <f t="shared" si="0"/>
        <v>优秀</v>
      </c>
    </row>
    <row r="11" spans="1:14" x14ac:dyDescent="0.15">
      <c r="A11" s="2" t="s">
        <v>55</v>
      </c>
      <c r="B11" s="3">
        <v>45694</v>
      </c>
      <c r="C11" s="2" t="s">
        <v>42</v>
      </c>
      <c r="D11" s="2" t="s">
        <v>39</v>
      </c>
      <c r="E11" s="2" t="s">
        <v>34</v>
      </c>
      <c r="F11" s="2" t="s">
        <v>56</v>
      </c>
      <c r="G11" s="2" t="s">
        <v>42</v>
      </c>
      <c r="H11" s="2">
        <v>100</v>
      </c>
      <c r="I11" s="2">
        <v>25</v>
      </c>
      <c r="J11" s="2">
        <v>2500</v>
      </c>
      <c r="K11" s="2">
        <v>1800</v>
      </c>
      <c r="L11" s="2">
        <v>700</v>
      </c>
      <c r="M11" s="15" t="str">
        <f t="shared" si="0"/>
        <v>待提升</v>
      </c>
    </row>
    <row r="12" spans="1:14" x14ac:dyDescent="0.15">
      <c r="A12" s="2" t="s">
        <v>57</v>
      </c>
      <c r="B12" s="3">
        <v>45698</v>
      </c>
      <c r="C12" s="2" t="s">
        <v>58</v>
      </c>
      <c r="D12" s="2" t="s">
        <v>15</v>
      </c>
      <c r="E12" s="2" t="s">
        <v>40</v>
      </c>
      <c r="F12" s="2" t="s">
        <v>59</v>
      </c>
      <c r="G12" s="2" t="s">
        <v>18</v>
      </c>
      <c r="H12" s="2">
        <v>12</v>
      </c>
      <c r="I12" s="2">
        <v>150</v>
      </c>
      <c r="J12" s="2">
        <v>1800</v>
      </c>
      <c r="K12" s="2">
        <v>1200</v>
      </c>
      <c r="L12" s="2">
        <v>600</v>
      </c>
      <c r="M12" s="15" t="str">
        <f t="shared" si="0"/>
        <v>待提升</v>
      </c>
    </row>
    <row r="13" spans="1:14" x14ac:dyDescent="0.15">
      <c r="A13" s="2" t="s">
        <v>60</v>
      </c>
      <c r="B13" s="3">
        <v>45702</v>
      </c>
      <c r="C13" s="2" t="s">
        <v>61</v>
      </c>
      <c r="D13" s="2" t="s">
        <v>21</v>
      </c>
      <c r="E13" s="2" t="s">
        <v>16</v>
      </c>
      <c r="F13" s="2" t="s">
        <v>62</v>
      </c>
      <c r="G13" s="2" t="s">
        <v>24</v>
      </c>
      <c r="H13" s="2">
        <v>4</v>
      </c>
      <c r="I13" s="2">
        <v>4500</v>
      </c>
      <c r="J13" s="2">
        <v>18000</v>
      </c>
      <c r="K13" s="2">
        <v>13000</v>
      </c>
      <c r="L13" s="2">
        <v>5000</v>
      </c>
      <c r="M13" s="15" t="str">
        <f t="shared" si="0"/>
        <v>优秀</v>
      </c>
    </row>
    <row r="14" spans="1:14" x14ac:dyDescent="0.15">
      <c r="A14" s="2" t="s">
        <v>63</v>
      </c>
      <c r="B14" s="3">
        <v>45706</v>
      </c>
      <c r="C14" s="2" t="s">
        <v>64</v>
      </c>
      <c r="D14" s="2" t="s">
        <v>27</v>
      </c>
      <c r="E14" s="2" t="s">
        <v>22</v>
      </c>
      <c r="F14" s="2" t="s">
        <v>65</v>
      </c>
      <c r="G14" s="2" t="s">
        <v>30</v>
      </c>
      <c r="H14" s="2">
        <v>7</v>
      </c>
      <c r="I14" s="2">
        <v>800</v>
      </c>
      <c r="J14" s="2">
        <v>5600</v>
      </c>
      <c r="K14" s="2">
        <v>4000</v>
      </c>
      <c r="L14" s="2">
        <v>1600</v>
      </c>
      <c r="M14" s="15" t="str">
        <f t="shared" si="0"/>
        <v>待提升</v>
      </c>
    </row>
    <row r="15" spans="1:14" x14ac:dyDescent="0.15">
      <c r="A15" s="2" t="s">
        <v>66</v>
      </c>
      <c r="B15" s="3">
        <v>45708</v>
      </c>
      <c r="C15" s="2" t="s">
        <v>67</v>
      </c>
      <c r="D15" s="2" t="s">
        <v>33</v>
      </c>
      <c r="E15" s="2" t="s">
        <v>28</v>
      </c>
      <c r="F15" s="2" t="s">
        <v>68</v>
      </c>
      <c r="G15" s="2" t="s">
        <v>36</v>
      </c>
      <c r="H15" s="2">
        <v>25</v>
      </c>
      <c r="I15" s="2">
        <v>200</v>
      </c>
      <c r="J15" s="2">
        <v>5000</v>
      </c>
      <c r="K15" s="2">
        <v>3500</v>
      </c>
      <c r="L15" s="2">
        <v>1500</v>
      </c>
      <c r="M15" s="15" t="str">
        <f t="shared" si="0"/>
        <v>待提升</v>
      </c>
    </row>
    <row r="16" spans="1:14" x14ac:dyDescent="0.15">
      <c r="A16" s="2" t="s">
        <v>69</v>
      </c>
      <c r="B16" s="3">
        <v>45718</v>
      </c>
      <c r="C16" s="2" t="s">
        <v>70</v>
      </c>
      <c r="D16" s="2" t="s">
        <v>39</v>
      </c>
      <c r="E16" s="2" t="s">
        <v>16</v>
      </c>
      <c r="F16" s="2" t="s">
        <v>71</v>
      </c>
      <c r="G16" s="2" t="s">
        <v>42</v>
      </c>
      <c r="H16" s="2">
        <v>15</v>
      </c>
      <c r="I16" s="2">
        <v>1500</v>
      </c>
      <c r="J16" s="2">
        <v>22500</v>
      </c>
      <c r="K16" s="2">
        <v>16000</v>
      </c>
      <c r="L16" s="2">
        <v>6500</v>
      </c>
      <c r="M16" s="15" t="str">
        <f t="shared" si="0"/>
        <v>优秀</v>
      </c>
    </row>
    <row r="17" spans="1:13" x14ac:dyDescent="0.15">
      <c r="A17" s="2" t="s">
        <v>72</v>
      </c>
      <c r="B17" s="3">
        <v>45721</v>
      </c>
      <c r="C17" s="2" t="s">
        <v>73</v>
      </c>
      <c r="D17" s="2" t="s">
        <v>15</v>
      </c>
      <c r="E17" s="2" t="s">
        <v>34</v>
      </c>
      <c r="F17" s="2" t="s">
        <v>74</v>
      </c>
      <c r="G17" s="2" t="s">
        <v>18</v>
      </c>
      <c r="H17" s="2">
        <v>20</v>
      </c>
      <c r="I17" s="2">
        <v>100</v>
      </c>
      <c r="J17" s="2">
        <v>2000</v>
      </c>
      <c r="K17" s="2">
        <v>1400</v>
      </c>
      <c r="L17" s="2">
        <v>600</v>
      </c>
      <c r="M17" s="15" t="str">
        <f t="shared" si="0"/>
        <v>待提升</v>
      </c>
    </row>
    <row r="18" spans="1:13" ht="13.5" customHeight="1" x14ac:dyDescent="0.15">
      <c r="A18" s="2" t="s">
        <v>75</v>
      </c>
      <c r="B18" s="3">
        <v>45724</v>
      </c>
      <c r="C18" s="2" t="s">
        <v>76</v>
      </c>
      <c r="D18" s="2" t="s">
        <v>21</v>
      </c>
      <c r="E18" s="2" t="s">
        <v>40</v>
      </c>
      <c r="F18" s="2" t="s">
        <v>77</v>
      </c>
      <c r="G18" s="2" t="s">
        <v>24</v>
      </c>
      <c r="H18" s="2">
        <v>60</v>
      </c>
      <c r="I18" s="2">
        <v>50</v>
      </c>
      <c r="J18" s="2">
        <v>3000</v>
      </c>
      <c r="K18" s="2">
        <v>2000</v>
      </c>
      <c r="L18" s="2">
        <v>1000</v>
      </c>
      <c r="M18" s="15" t="str">
        <f t="shared" si="0"/>
        <v>待提升</v>
      </c>
    </row>
    <row r="19" spans="1:13" x14ac:dyDescent="0.15">
      <c r="A19" s="2" t="s">
        <v>78</v>
      </c>
      <c r="B19" s="3">
        <v>45728</v>
      </c>
      <c r="C19" s="2" t="s">
        <v>79</v>
      </c>
      <c r="D19" s="2" t="s">
        <v>27</v>
      </c>
      <c r="E19" s="2" t="s">
        <v>22</v>
      </c>
      <c r="F19" s="2" t="s">
        <v>80</v>
      </c>
      <c r="G19" s="2" t="s">
        <v>30</v>
      </c>
      <c r="H19" s="2">
        <v>2</v>
      </c>
      <c r="I19" s="2">
        <v>3000</v>
      </c>
      <c r="J19" s="2">
        <v>6000</v>
      </c>
      <c r="K19" s="2">
        <v>4500</v>
      </c>
      <c r="L19" s="2">
        <v>1500</v>
      </c>
      <c r="M19" s="15" t="str">
        <f t="shared" si="0"/>
        <v>中等</v>
      </c>
    </row>
    <row r="20" spans="1:13" x14ac:dyDescent="0.15">
      <c r="A20" s="2" t="s">
        <v>81</v>
      </c>
      <c r="B20" s="3">
        <v>45731</v>
      </c>
      <c r="C20" s="2" t="s">
        <v>82</v>
      </c>
      <c r="D20" s="2" t="s">
        <v>33</v>
      </c>
      <c r="E20" s="2" t="s">
        <v>16</v>
      </c>
      <c r="F20" s="2" t="s">
        <v>83</v>
      </c>
      <c r="G20" s="2" t="s">
        <v>36</v>
      </c>
      <c r="H20" s="2">
        <v>30</v>
      </c>
      <c r="I20" s="2">
        <v>300</v>
      </c>
      <c r="J20" s="2">
        <v>9000</v>
      </c>
      <c r="K20" s="2">
        <v>6500</v>
      </c>
      <c r="L20" s="2">
        <v>2500</v>
      </c>
      <c r="M20" s="15" t="str">
        <f t="shared" si="0"/>
        <v>中等</v>
      </c>
    </row>
    <row r="21" spans="1:13" x14ac:dyDescent="0.15">
      <c r="A21" s="2" t="s">
        <v>84</v>
      </c>
      <c r="B21" s="3">
        <v>45734</v>
      </c>
      <c r="C21" s="2" t="s">
        <v>36</v>
      </c>
      <c r="D21" s="2" t="s">
        <v>39</v>
      </c>
      <c r="E21" s="2" t="s">
        <v>28</v>
      </c>
      <c r="F21" s="2" t="s">
        <v>85</v>
      </c>
      <c r="G21" s="2" t="s">
        <v>42</v>
      </c>
      <c r="H21" s="2">
        <v>40</v>
      </c>
      <c r="I21" s="2">
        <v>100</v>
      </c>
      <c r="J21" s="2">
        <v>4000</v>
      </c>
      <c r="K21" s="2">
        <v>2800</v>
      </c>
      <c r="L21" s="2">
        <v>1200</v>
      </c>
      <c r="M21" s="15" t="str">
        <f t="shared" si="0"/>
        <v>待提升</v>
      </c>
    </row>
    <row r="22" spans="1:13" x14ac:dyDescent="0.15">
      <c r="A22" s="2" t="s">
        <v>86</v>
      </c>
      <c r="B22" s="3">
        <v>45748</v>
      </c>
      <c r="C22" s="2" t="s">
        <v>24</v>
      </c>
      <c r="D22" s="2" t="s">
        <v>15</v>
      </c>
      <c r="E22" s="2" t="s">
        <v>16</v>
      </c>
      <c r="F22" s="2" t="s">
        <v>87</v>
      </c>
      <c r="G22" s="2" t="s">
        <v>18</v>
      </c>
      <c r="H22" s="2">
        <v>5</v>
      </c>
      <c r="I22" s="2">
        <v>1200</v>
      </c>
      <c r="J22" s="2">
        <v>6000</v>
      </c>
      <c r="K22" s="2">
        <v>4200</v>
      </c>
      <c r="L22" s="2">
        <v>1800</v>
      </c>
      <c r="M22" s="15" t="str">
        <f t="shared" si="0"/>
        <v>中等</v>
      </c>
    </row>
    <row r="23" spans="1:13" x14ac:dyDescent="0.15">
      <c r="A23" s="2" t="s">
        <v>88</v>
      </c>
      <c r="B23" s="3">
        <v>45752</v>
      </c>
      <c r="C23" s="2" t="s">
        <v>89</v>
      </c>
      <c r="D23" s="2" t="s">
        <v>21</v>
      </c>
      <c r="E23" s="2" t="s">
        <v>22</v>
      </c>
      <c r="F23" s="2" t="s">
        <v>90</v>
      </c>
      <c r="G23" s="2" t="s">
        <v>24</v>
      </c>
      <c r="H23" s="2">
        <v>3</v>
      </c>
      <c r="I23" s="2">
        <v>1500</v>
      </c>
      <c r="J23" s="2">
        <v>4500</v>
      </c>
      <c r="K23" s="2">
        <v>3200</v>
      </c>
      <c r="L23" s="2">
        <v>1300</v>
      </c>
      <c r="M23" s="15" t="str">
        <f t="shared" si="0"/>
        <v>待提升</v>
      </c>
    </row>
    <row r="24" spans="1:13" x14ac:dyDescent="0.15">
      <c r="A24" s="2" t="s">
        <v>91</v>
      </c>
      <c r="B24" s="3">
        <v>45755</v>
      </c>
      <c r="C24" s="2" t="s">
        <v>92</v>
      </c>
      <c r="D24" s="2" t="s">
        <v>27</v>
      </c>
      <c r="E24" s="2" t="s">
        <v>34</v>
      </c>
      <c r="F24" s="2" t="s">
        <v>93</v>
      </c>
      <c r="G24" s="2" t="s">
        <v>30</v>
      </c>
      <c r="H24" s="2">
        <v>100</v>
      </c>
      <c r="I24" s="2">
        <v>20</v>
      </c>
      <c r="J24" s="2">
        <v>2000</v>
      </c>
      <c r="K24" s="2">
        <v>1400</v>
      </c>
      <c r="L24" s="2">
        <v>600</v>
      </c>
      <c r="M24" s="15" t="str">
        <f t="shared" si="0"/>
        <v>待提升</v>
      </c>
    </row>
    <row r="25" spans="1:13" x14ac:dyDescent="0.15">
      <c r="A25" s="2" t="s">
        <v>94</v>
      </c>
      <c r="B25" s="3">
        <v>45759</v>
      </c>
      <c r="C25" s="2" t="s">
        <v>95</v>
      </c>
      <c r="D25" s="2" t="s">
        <v>33</v>
      </c>
      <c r="E25" s="2" t="s">
        <v>40</v>
      </c>
      <c r="F25" s="2" t="s">
        <v>96</v>
      </c>
      <c r="G25" s="2" t="s">
        <v>36</v>
      </c>
      <c r="H25" s="2">
        <v>18</v>
      </c>
      <c r="I25" s="2">
        <v>180</v>
      </c>
      <c r="J25" s="2">
        <v>3240</v>
      </c>
      <c r="K25" s="2">
        <v>2200</v>
      </c>
      <c r="L25" s="2">
        <v>1040</v>
      </c>
      <c r="M25" s="15" t="str">
        <f t="shared" si="0"/>
        <v>待提升</v>
      </c>
    </row>
    <row r="26" spans="1:13" x14ac:dyDescent="0.15">
      <c r="A26" s="2" t="s">
        <v>97</v>
      </c>
      <c r="B26" s="3">
        <v>45762</v>
      </c>
      <c r="C26" s="2" t="s">
        <v>98</v>
      </c>
      <c r="D26" s="2" t="s">
        <v>39</v>
      </c>
      <c r="E26" s="2" t="s">
        <v>16</v>
      </c>
      <c r="F26" s="2" t="s">
        <v>99</v>
      </c>
      <c r="G26" s="2" t="s">
        <v>42</v>
      </c>
      <c r="H26" s="2">
        <v>1</v>
      </c>
      <c r="I26" s="2">
        <v>8000</v>
      </c>
      <c r="J26" s="2">
        <v>8000</v>
      </c>
      <c r="K26" s="2">
        <v>6000</v>
      </c>
      <c r="L26" s="2">
        <v>2000</v>
      </c>
      <c r="M26" s="15" t="str">
        <f t="shared" si="0"/>
        <v>中等</v>
      </c>
    </row>
    <row r="27" spans="1:13" x14ac:dyDescent="0.15">
      <c r="A27" s="2" t="s">
        <v>100</v>
      </c>
      <c r="B27" s="3">
        <v>45767</v>
      </c>
      <c r="C27" s="2" t="s">
        <v>47</v>
      </c>
      <c r="D27" s="2" t="s">
        <v>15</v>
      </c>
      <c r="E27" s="2" t="s">
        <v>28</v>
      </c>
      <c r="F27" s="2" t="s">
        <v>101</v>
      </c>
      <c r="G27" s="2" t="s">
        <v>18</v>
      </c>
      <c r="H27" s="2">
        <v>10</v>
      </c>
      <c r="I27" s="2">
        <v>250</v>
      </c>
      <c r="J27" s="2">
        <v>2500</v>
      </c>
      <c r="K27" s="2">
        <v>1800</v>
      </c>
      <c r="L27" s="2">
        <v>700</v>
      </c>
      <c r="M27" s="15" t="str">
        <f t="shared" si="0"/>
        <v>待提升</v>
      </c>
    </row>
    <row r="28" spans="1:13" x14ac:dyDescent="0.15">
      <c r="A28" s="2" t="s">
        <v>102</v>
      </c>
      <c r="B28" s="3">
        <v>45782</v>
      </c>
      <c r="C28" s="2" t="s">
        <v>103</v>
      </c>
      <c r="D28" s="2" t="s">
        <v>21</v>
      </c>
      <c r="E28" s="2" t="s">
        <v>16</v>
      </c>
      <c r="F28" s="2" t="s">
        <v>104</v>
      </c>
      <c r="G28" s="2" t="s">
        <v>24</v>
      </c>
      <c r="H28" s="2">
        <v>25</v>
      </c>
      <c r="I28" s="2">
        <v>150</v>
      </c>
      <c r="J28" s="2">
        <v>3750</v>
      </c>
      <c r="K28" s="2">
        <v>2600</v>
      </c>
      <c r="L28" s="2">
        <v>1150</v>
      </c>
      <c r="M28" s="15" t="str">
        <f t="shared" si="0"/>
        <v>待提升</v>
      </c>
    </row>
    <row r="29" spans="1:13" x14ac:dyDescent="0.15">
      <c r="A29" s="2" t="s">
        <v>105</v>
      </c>
      <c r="B29" s="3">
        <v>45787</v>
      </c>
      <c r="C29" s="2" t="s">
        <v>106</v>
      </c>
      <c r="D29" s="2" t="s">
        <v>27</v>
      </c>
      <c r="E29" s="2" t="s">
        <v>22</v>
      </c>
      <c r="F29" s="2" t="s">
        <v>107</v>
      </c>
      <c r="G29" s="2" t="s">
        <v>30</v>
      </c>
      <c r="H29" s="2">
        <v>4</v>
      </c>
      <c r="I29" s="2">
        <v>2000</v>
      </c>
      <c r="J29" s="2">
        <v>8000</v>
      </c>
      <c r="K29" s="2">
        <v>5800</v>
      </c>
      <c r="L29" s="2">
        <v>2200</v>
      </c>
      <c r="M29" s="15" t="str">
        <f t="shared" si="0"/>
        <v>中等</v>
      </c>
    </row>
    <row r="30" spans="1:13" x14ac:dyDescent="0.15">
      <c r="A30" s="2" t="s">
        <v>108</v>
      </c>
      <c r="B30" s="3">
        <v>45792</v>
      </c>
      <c r="C30" s="2" t="s">
        <v>109</v>
      </c>
      <c r="D30" s="2" t="s">
        <v>33</v>
      </c>
      <c r="E30" s="2" t="s">
        <v>34</v>
      </c>
      <c r="F30" s="2" t="s">
        <v>110</v>
      </c>
      <c r="G30" s="2" t="s">
        <v>36</v>
      </c>
      <c r="H30" s="2">
        <v>2</v>
      </c>
      <c r="I30" s="2">
        <v>2500</v>
      </c>
      <c r="J30" s="2">
        <v>5000</v>
      </c>
      <c r="K30" s="2">
        <v>3600</v>
      </c>
      <c r="L30" s="2">
        <v>1400</v>
      </c>
      <c r="M30" s="15" t="str">
        <f t="shared" si="0"/>
        <v>待提升</v>
      </c>
    </row>
    <row r="31" spans="1:13" x14ac:dyDescent="0.15">
      <c r="A31" s="2" t="s">
        <v>111</v>
      </c>
      <c r="B31" s="3">
        <v>45797</v>
      </c>
      <c r="C31" s="2" t="s">
        <v>112</v>
      </c>
      <c r="D31" s="2" t="s">
        <v>39</v>
      </c>
      <c r="E31" s="2" t="s">
        <v>28</v>
      </c>
      <c r="F31" s="2" t="s">
        <v>113</v>
      </c>
      <c r="G31" s="2" t="s">
        <v>42</v>
      </c>
      <c r="H31" s="2">
        <v>8</v>
      </c>
      <c r="I31" s="2">
        <v>500</v>
      </c>
      <c r="J31" s="2">
        <v>4000</v>
      </c>
      <c r="K31" s="2">
        <v>2800</v>
      </c>
      <c r="L31" s="2">
        <v>1200</v>
      </c>
      <c r="M31" s="15" t="str">
        <f t="shared" si="0"/>
        <v>待提升</v>
      </c>
    </row>
    <row r="32" spans="1:13" x14ac:dyDescent="0.15">
      <c r="A32" s="2" t="s">
        <v>114</v>
      </c>
      <c r="B32" s="3">
        <v>45809</v>
      </c>
      <c r="C32" s="2" t="s">
        <v>115</v>
      </c>
      <c r="D32" s="2" t="s">
        <v>15</v>
      </c>
      <c r="E32" s="2" t="s">
        <v>16</v>
      </c>
      <c r="F32" s="2" t="s">
        <v>116</v>
      </c>
      <c r="G32" s="2" t="s">
        <v>18</v>
      </c>
      <c r="H32" s="2">
        <v>12</v>
      </c>
      <c r="I32" s="2">
        <v>200</v>
      </c>
      <c r="J32" s="2">
        <v>2400</v>
      </c>
      <c r="K32" s="2">
        <v>1600</v>
      </c>
      <c r="L32" s="2">
        <v>800</v>
      </c>
      <c r="M32" s="15" t="str">
        <f t="shared" si="0"/>
        <v>待提升</v>
      </c>
    </row>
    <row r="36" spans="1:12" x14ac:dyDescent="0.15">
      <c r="A36" s="4" t="s">
        <v>117</v>
      </c>
      <c r="B36" s="15">
        <f>SUM(J2:J32)</f>
        <v>233590</v>
      </c>
    </row>
    <row r="37" spans="1:12" x14ac:dyDescent="0.15">
      <c r="A37" s="4" t="s">
        <v>118</v>
      </c>
      <c r="B37" s="15">
        <f>AVERAGE(J2:J32)</f>
        <v>7535.1612903225805</v>
      </c>
    </row>
    <row r="38" spans="1:12" x14ac:dyDescent="0.15">
      <c r="A38" s="4" t="s">
        <v>119</v>
      </c>
      <c r="B38" s="15">
        <f>MAX(J2:J32)</f>
        <v>27500</v>
      </c>
    </row>
    <row r="39" spans="1:12" x14ac:dyDescent="0.15">
      <c r="A39" s="4" t="s">
        <v>120</v>
      </c>
      <c r="B39" s="15">
        <f>MIN(J2:J32)</f>
        <v>1800</v>
      </c>
    </row>
    <row r="40" spans="1:12" x14ac:dyDescent="0.15">
      <c r="A40" s="4" t="s">
        <v>121</v>
      </c>
      <c r="B40" s="15">
        <f>COUNTA(A2:A32)</f>
        <v>31</v>
      </c>
    </row>
    <row r="41" spans="1:12" x14ac:dyDescent="0.15">
      <c r="A41" s="4" t="s">
        <v>122</v>
      </c>
      <c r="B41" s="15">
        <f>COUNTIF(D2:D32,"华北")</f>
        <v>7</v>
      </c>
    </row>
    <row r="45" spans="1:12" ht="27" customHeight="1" x14ac:dyDescent="0.15">
      <c r="A45" s="5" t="s">
        <v>0</v>
      </c>
      <c r="B45" s="5" t="s">
        <v>1</v>
      </c>
      <c r="C45" s="5" t="s">
        <v>2</v>
      </c>
      <c r="D45" s="5" t="s">
        <v>3</v>
      </c>
      <c r="E45" s="5" t="s">
        <v>4</v>
      </c>
      <c r="F45" s="5" t="s">
        <v>5</v>
      </c>
      <c r="G45" s="5" t="s">
        <v>6</v>
      </c>
      <c r="H45" s="5" t="s">
        <v>7</v>
      </c>
      <c r="I45" s="5" t="s">
        <v>8</v>
      </c>
      <c r="J45" s="5" t="s">
        <v>9</v>
      </c>
      <c r="K45" s="5" t="s">
        <v>10</v>
      </c>
      <c r="L45" s="5" t="s">
        <v>11</v>
      </c>
    </row>
    <row r="46" spans="1:12" ht="27" customHeight="1" x14ac:dyDescent="0.15">
      <c r="A46" s="6" t="s">
        <v>13</v>
      </c>
      <c r="B46" s="7">
        <v>45662</v>
      </c>
      <c r="C46" s="6" t="s">
        <v>14</v>
      </c>
      <c r="D46" s="6" t="s">
        <v>15</v>
      </c>
      <c r="E46" s="6" t="s">
        <v>16</v>
      </c>
      <c r="F46" s="6" t="s">
        <v>17</v>
      </c>
      <c r="G46" s="6" t="s">
        <v>18</v>
      </c>
      <c r="H46" s="6">
        <v>5</v>
      </c>
      <c r="I46" s="6">
        <v>5500</v>
      </c>
      <c r="J46" s="6">
        <v>27500</v>
      </c>
      <c r="K46" s="6">
        <v>20000</v>
      </c>
      <c r="L46" s="6">
        <v>7500</v>
      </c>
    </row>
    <row r="47" spans="1:12" x14ac:dyDescent="0.15">
      <c r="A47" s="6" t="s">
        <v>43</v>
      </c>
      <c r="B47" s="7">
        <v>45675</v>
      </c>
      <c r="C47" s="6" t="s">
        <v>44</v>
      </c>
      <c r="D47" s="6" t="s">
        <v>15</v>
      </c>
      <c r="E47" s="6" t="s">
        <v>16</v>
      </c>
      <c r="F47" s="6" t="s">
        <v>45</v>
      </c>
      <c r="G47" s="6" t="s">
        <v>18</v>
      </c>
      <c r="H47" s="6">
        <v>8</v>
      </c>
      <c r="I47" s="6">
        <v>3000</v>
      </c>
      <c r="J47" s="6">
        <v>24000</v>
      </c>
      <c r="K47" s="6">
        <v>18000</v>
      </c>
      <c r="L47" s="6">
        <v>6000</v>
      </c>
    </row>
    <row r="48" spans="1:12" x14ac:dyDescent="0.15">
      <c r="A48" s="6" t="s">
        <v>69</v>
      </c>
      <c r="B48" s="7">
        <v>45718</v>
      </c>
      <c r="C48" s="6" t="s">
        <v>70</v>
      </c>
      <c r="D48" s="6" t="s">
        <v>39</v>
      </c>
      <c r="E48" s="6" t="s">
        <v>16</v>
      </c>
      <c r="F48" s="6" t="s">
        <v>71</v>
      </c>
      <c r="G48" s="6" t="s">
        <v>42</v>
      </c>
      <c r="H48" s="6">
        <v>15</v>
      </c>
      <c r="I48" s="6">
        <v>1500</v>
      </c>
      <c r="J48" s="6">
        <v>22500</v>
      </c>
      <c r="K48" s="6">
        <v>16000</v>
      </c>
      <c r="L48" s="6">
        <v>6500</v>
      </c>
    </row>
    <row r="49" spans="1:12" x14ac:dyDescent="0.15">
      <c r="A49" s="6" t="s">
        <v>60</v>
      </c>
      <c r="B49" s="7">
        <v>45702</v>
      </c>
      <c r="C49" s="6" t="s">
        <v>61</v>
      </c>
      <c r="D49" s="6" t="s">
        <v>21</v>
      </c>
      <c r="E49" s="6" t="s">
        <v>16</v>
      </c>
      <c r="F49" s="6" t="s">
        <v>62</v>
      </c>
      <c r="G49" s="6" t="s">
        <v>24</v>
      </c>
      <c r="H49" s="6">
        <v>4</v>
      </c>
      <c r="I49" s="6">
        <v>4500</v>
      </c>
      <c r="J49" s="6">
        <v>18000</v>
      </c>
      <c r="K49" s="6">
        <v>13000</v>
      </c>
      <c r="L49" s="6">
        <v>5000</v>
      </c>
    </row>
    <row r="50" spans="1:12" x14ac:dyDescent="0.15">
      <c r="A50" s="6" t="s">
        <v>52</v>
      </c>
      <c r="B50" s="7">
        <v>45691</v>
      </c>
      <c r="C50" s="6" t="s">
        <v>53</v>
      </c>
      <c r="D50" s="6" t="s">
        <v>33</v>
      </c>
      <c r="E50" s="6" t="s">
        <v>16</v>
      </c>
      <c r="F50" s="6" t="s">
        <v>54</v>
      </c>
      <c r="G50" s="6" t="s">
        <v>36</v>
      </c>
      <c r="H50" s="6">
        <v>6</v>
      </c>
      <c r="I50" s="6">
        <v>2800</v>
      </c>
      <c r="J50" s="6">
        <v>16800</v>
      </c>
      <c r="K50" s="6">
        <v>12000</v>
      </c>
      <c r="L50" s="6">
        <v>4800</v>
      </c>
    </row>
    <row r="51" spans="1:12" x14ac:dyDescent="0.15">
      <c r="A51" s="6" t="s">
        <v>19</v>
      </c>
      <c r="B51" s="7">
        <v>45664</v>
      </c>
      <c r="C51" s="6" t="s">
        <v>20</v>
      </c>
      <c r="D51" s="6" t="s">
        <v>21</v>
      </c>
      <c r="E51" s="6" t="s">
        <v>22</v>
      </c>
      <c r="F51" s="6" t="s">
        <v>23</v>
      </c>
      <c r="G51" s="6" t="s">
        <v>24</v>
      </c>
      <c r="H51" s="6">
        <v>10</v>
      </c>
      <c r="I51" s="6">
        <v>1200</v>
      </c>
      <c r="J51" s="6">
        <v>12000</v>
      </c>
      <c r="K51" s="6">
        <v>9000</v>
      </c>
      <c r="L51" s="6">
        <v>3000</v>
      </c>
    </row>
    <row r="52" spans="1:12" x14ac:dyDescent="0.15">
      <c r="A52" s="6" t="s">
        <v>81</v>
      </c>
      <c r="B52" s="7">
        <v>45731</v>
      </c>
      <c r="C52" s="6" t="s">
        <v>82</v>
      </c>
      <c r="D52" s="6" t="s">
        <v>33</v>
      </c>
      <c r="E52" s="6" t="s">
        <v>16</v>
      </c>
      <c r="F52" s="6" t="s">
        <v>83</v>
      </c>
      <c r="G52" s="6" t="s">
        <v>36</v>
      </c>
      <c r="H52" s="6">
        <v>30</v>
      </c>
      <c r="I52" s="6">
        <v>300</v>
      </c>
      <c r="J52" s="6">
        <v>9000</v>
      </c>
      <c r="K52" s="6">
        <v>6500</v>
      </c>
      <c r="L52" s="6">
        <v>2500</v>
      </c>
    </row>
    <row r="53" spans="1:12" x14ac:dyDescent="0.15">
      <c r="A53" s="6" t="s">
        <v>105</v>
      </c>
      <c r="B53" s="7">
        <v>45787</v>
      </c>
      <c r="C53" s="6" t="s">
        <v>106</v>
      </c>
      <c r="D53" s="6" t="s">
        <v>27</v>
      </c>
      <c r="E53" s="6" t="s">
        <v>22</v>
      </c>
      <c r="F53" s="6" t="s">
        <v>107</v>
      </c>
      <c r="G53" s="6" t="s">
        <v>30</v>
      </c>
      <c r="H53" s="6">
        <v>4</v>
      </c>
      <c r="I53" s="6">
        <v>2000</v>
      </c>
      <c r="J53" s="6">
        <v>8000</v>
      </c>
      <c r="K53" s="6">
        <v>5800</v>
      </c>
      <c r="L53" s="6">
        <v>2200</v>
      </c>
    </row>
    <row r="54" spans="1:12" x14ac:dyDescent="0.15">
      <c r="A54" s="6" t="s">
        <v>97</v>
      </c>
      <c r="B54" s="7">
        <v>45762</v>
      </c>
      <c r="C54" s="6" t="s">
        <v>98</v>
      </c>
      <c r="D54" s="6" t="s">
        <v>39</v>
      </c>
      <c r="E54" s="6" t="s">
        <v>16</v>
      </c>
      <c r="F54" s="6" t="s">
        <v>99</v>
      </c>
      <c r="G54" s="6" t="s">
        <v>42</v>
      </c>
      <c r="H54" s="6">
        <v>1</v>
      </c>
      <c r="I54" s="6">
        <v>8000</v>
      </c>
      <c r="J54" s="6">
        <v>8000</v>
      </c>
      <c r="K54" s="6">
        <v>6000</v>
      </c>
      <c r="L54" s="6">
        <v>2000</v>
      </c>
    </row>
    <row r="55" spans="1:12" x14ac:dyDescent="0.15">
      <c r="A55" s="6" t="s">
        <v>46</v>
      </c>
      <c r="B55" s="7">
        <v>45677</v>
      </c>
      <c r="C55" s="6" t="s">
        <v>47</v>
      </c>
      <c r="D55" s="6" t="s">
        <v>21</v>
      </c>
      <c r="E55" s="6" t="s">
        <v>22</v>
      </c>
      <c r="F55" s="6" t="s">
        <v>48</v>
      </c>
      <c r="G55" s="6" t="s">
        <v>24</v>
      </c>
      <c r="H55" s="6">
        <v>15</v>
      </c>
      <c r="I55" s="6">
        <v>500</v>
      </c>
      <c r="J55" s="6">
        <v>7500</v>
      </c>
      <c r="K55" s="6">
        <v>5500</v>
      </c>
      <c r="L55" s="6">
        <v>2000</v>
      </c>
    </row>
    <row r="56" spans="1:12" x14ac:dyDescent="0.15">
      <c r="A56" s="6" t="s">
        <v>86</v>
      </c>
      <c r="B56" s="7">
        <v>45748</v>
      </c>
      <c r="C56" s="6" t="s">
        <v>24</v>
      </c>
      <c r="D56" s="6" t="s">
        <v>15</v>
      </c>
      <c r="E56" s="6" t="s">
        <v>16</v>
      </c>
      <c r="F56" s="6" t="s">
        <v>87</v>
      </c>
      <c r="G56" s="6" t="s">
        <v>18</v>
      </c>
      <c r="H56" s="6">
        <v>5</v>
      </c>
      <c r="I56" s="6">
        <v>1200</v>
      </c>
      <c r="J56" s="6">
        <v>6000</v>
      </c>
      <c r="K56" s="6">
        <v>4200</v>
      </c>
      <c r="L56" s="6">
        <v>1800</v>
      </c>
    </row>
    <row r="57" spans="1:12" x14ac:dyDescent="0.15">
      <c r="A57" s="6" t="s">
        <v>78</v>
      </c>
      <c r="B57" s="7">
        <v>45728</v>
      </c>
      <c r="C57" s="6" t="s">
        <v>79</v>
      </c>
      <c r="D57" s="6" t="s">
        <v>27</v>
      </c>
      <c r="E57" s="6" t="s">
        <v>22</v>
      </c>
      <c r="F57" s="6" t="s">
        <v>80</v>
      </c>
      <c r="G57" s="6" t="s">
        <v>30</v>
      </c>
      <c r="H57" s="6">
        <v>2</v>
      </c>
      <c r="I57" s="6">
        <v>3000</v>
      </c>
      <c r="J57" s="6">
        <v>6000</v>
      </c>
      <c r="K57" s="6">
        <v>4500</v>
      </c>
      <c r="L57" s="6">
        <v>1500</v>
      </c>
    </row>
    <row r="58" spans="1:12" x14ac:dyDescent="0.15">
      <c r="A58" s="6" t="s">
        <v>63</v>
      </c>
      <c r="B58" s="7">
        <v>45706</v>
      </c>
      <c r="C58" s="6" t="s">
        <v>64</v>
      </c>
      <c r="D58" s="6" t="s">
        <v>27</v>
      </c>
      <c r="E58" s="6" t="s">
        <v>22</v>
      </c>
      <c r="F58" s="6" t="s">
        <v>65</v>
      </c>
      <c r="G58" s="6" t="s">
        <v>30</v>
      </c>
      <c r="H58" s="6">
        <v>7</v>
      </c>
      <c r="I58" s="6">
        <v>800</v>
      </c>
      <c r="J58" s="6">
        <v>5600</v>
      </c>
      <c r="K58" s="6">
        <v>4000</v>
      </c>
      <c r="L58" s="6">
        <v>1600</v>
      </c>
    </row>
    <row r="59" spans="1:12" x14ac:dyDescent="0.15">
      <c r="A59" s="6" t="s">
        <v>108</v>
      </c>
      <c r="B59" s="7">
        <v>45792</v>
      </c>
      <c r="C59" s="6" t="s">
        <v>109</v>
      </c>
      <c r="D59" s="6" t="s">
        <v>33</v>
      </c>
      <c r="E59" s="6" t="s">
        <v>34</v>
      </c>
      <c r="F59" s="6" t="s">
        <v>110</v>
      </c>
      <c r="G59" s="6" t="s">
        <v>36</v>
      </c>
      <c r="H59" s="6">
        <v>2</v>
      </c>
      <c r="I59" s="6">
        <v>2500</v>
      </c>
      <c r="J59" s="6">
        <v>5000</v>
      </c>
      <c r="K59" s="6">
        <v>3600</v>
      </c>
      <c r="L59" s="6">
        <v>1400</v>
      </c>
    </row>
    <row r="60" spans="1:12" x14ac:dyDescent="0.15">
      <c r="A60" s="6" t="s">
        <v>66</v>
      </c>
      <c r="B60" s="7">
        <v>45708</v>
      </c>
      <c r="C60" s="6" t="s">
        <v>67</v>
      </c>
      <c r="D60" s="6" t="s">
        <v>33</v>
      </c>
      <c r="E60" s="6" t="s">
        <v>28</v>
      </c>
      <c r="F60" s="6" t="s">
        <v>68</v>
      </c>
      <c r="G60" s="6" t="s">
        <v>36</v>
      </c>
      <c r="H60" s="6">
        <v>25</v>
      </c>
      <c r="I60" s="6">
        <v>200</v>
      </c>
      <c r="J60" s="6">
        <v>5000</v>
      </c>
      <c r="K60" s="6">
        <v>3500</v>
      </c>
      <c r="L60" s="6">
        <v>1500</v>
      </c>
    </row>
    <row r="61" spans="1:12" x14ac:dyDescent="0.15">
      <c r="A61" s="6" t="s">
        <v>88</v>
      </c>
      <c r="B61" s="7">
        <v>45752</v>
      </c>
      <c r="C61" s="6" t="s">
        <v>89</v>
      </c>
      <c r="D61" s="6" t="s">
        <v>21</v>
      </c>
      <c r="E61" s="6" t="s">
        <v>22</v>
      </c>
      <c r="F61" s="6" t="s">
        <v>90</v>
      </c>
      <c r="G61" s="6" t="s">
        <v>24</v>
      </c>
      <c r="H61" s="6">
        <v>3</v>
      </c>
      <c r="I61" s="6">
        <v>1500</v>
      </c>
      <c r="J61" s="6">
        <v>4500</v>
      </c>
      <c r="K61" s="6">
        <v>3200</v>
      </c>
      <c r="L61" s="6">
        <v>1300</v>
      </c>
    </row>
    <row r="62" spans="1:12" x14ac:dyDescent="0.15">
      <c r="A62" s="6" t="s">
        <v>49</v>
      </c>
      <c r="B62" s="7">
        <v>45689</v>
      </c>
      <c r="C62" s="6" t="s">
        <v>50</v>
      </c>
      <c r="D62" s="6" t="s">
        <v>27</v>
      </c>
      <c r="E62" s="6" t="s">
        <v>28</v>
      </c>
      <c r="F62" s="6" t="s">
        <v>51</v>
      </c>
      <c r="G62" s="6" t="s">
        <v>30</v>
      </c>
      <c r="H62" s="6">
        <v>30</v>
      </c>
      <c r="I62" s="6">
        <v>150</v>
      </c>
      <c r="J62" s="6">
        <v>4500</v>
      </c>
      <c r="K62" s="6">
        <v>3200</v>
      </c>
      <c r="L62" s="6">
        <v>1300</v>
      </c>
    </row>
    <row r="63" spans="1:12" x14ac:dyDescent="0.15">
      <c r="A63" s="6" t="s">
        <v>31</v>
      </c>
      <c r="B63" s="7">
        <v>45669</v>
      </c>
      <c r="C63" s="6" t="s">
        <v>32</v>
      </c>
      <c r="D63" s="6" t="s">
        <v>33</v>
      </c>
      <c r="E63" s="6" t="s">
        <v>34</v>
      </c>
      <c r="F63" s="6" t="s">
        <v>35</v>
      </c>
      <c r="G63" s="6" t="s">
        <v>36</v>
      </c>
      <c r="H63" s="6">
        <v>3</v>
      </c>
      <c r="I63" s="6">
        <v>1500</v>
      </c>
      <c r="J63" s="6">
        <v>4500</v>
      </c>
      <c r="K63" s="6">
        <v>3200</v>
      </c>
      <c r="L63" s="6">
        <v>1300</v>
      </c>
    </row>
    <row r="64" spans="1:12" x14ac:dyDescent="0.15">
      <c r="A64" s="6" t="s">
        <v>111</v>
      </c>
      <c r="B64" s="7">
        <v>45797</v>
      </c>
      <c r="C64" s="6" t="s">
        <v>112</v>
      </c>
      <c r="D64" s="6" t="s">
        <v>39</v>
      </c>
      <c r="E64" s="6" t="s">
        <v>28</v>
      </c>
      <c r="F64" s="6" t="s">
        <v>113</v>
      </c>
      <c r="G64" s="6" t="s">
        <v>42</v>
      </c>
      <c r="H64" s="6">
        <v>8</v>
      </c>
      <c r="I64" s="6">
        <v>500</v>
      </c>
      <c r="J64" s="6">
        <v>4000</v>
      </c>
      <c r="K64" s="6">
        <v>2800</v>
      </c>
      <c r="L64" s="6">
        <v>1200</v>
      </c>
    </row>
    <row r="65" spans="1:12" x14ac:dyDescent="0.15">
      <c r="A65" s="6" t="s">
        <v>84</v>
      </c>
      <c r="B65" s="7">
        <v>45734</v>
      </c>
      <c r="C65" s="6" t="s">
        <v>36</v>
      </c>
      <c r="D65" s="6" t="s">
        <v>39</v>
      </c>
      <c r="E65" s="6" t="s">
        <v>28</v>
      </c>
      <c r="F65" s="6" t="s">
        <v>85</v>
      </c>
      <c r="G65" s="6" t="s">
        <v>42</v>
      </c>
      <c r="H65" s="6">
        <v>40</v>
      </c>
      <c r="I65" s="6">
        <v>100</v>
      </c>
      <c r="J65" s="6">
        <v>4000</v>
      </c>
      <c r="K65" s="6">
        <v>2800</v>
      </c>
      <c r="L65" s="6">
        <v>1200</v>
      </c>
    </row>
    <row r="66" spans="1:12" x14ac:dyDescent="0.15">
      <c r="A66" s="6" t="s">
        <v>37</v>
      </c>
      <c r="B66" s="7">
        <v>45672</v>
      </c>
      <c r="C66" s="6" t="s">
        <v>38</v>
      </c>
      <c r="D66" s="6" t="s">
        <v>39</v>
      </c>
      <c r="E66" s="6" t="s">
        <v>40</v>
      </c>
      <c r="F66" s="6" t="s">
        <v>41</v>
      </c>
      <c r="G66" s="6" t="s">
        <v>42</v>
      </c>
      <c r="H66" s="6">
        <v>20</v>
      </c>
      <c r="I66" s="6">
        <v>200</v>
      </c>
      <c r="J66" s="6">
        <v>4000</v>
      </c>
      <c r="K66" s="6">
        <v>2800</v>
      </c>
      <c r="L66" s="6">
        <v>1200</v>
      </c>
    </row>
    <row r="67" spans="1:12" x14ac:dyDescent="0.15">
      <c r="A67" s="6" t="s">
        <v>25</v>
      </c>
      <c r="B67" s="7">
        <v>45667</v>
      </c>
      <c r="C67" s="6" t="s">
        <v>26</v>
      </c>
      <c r="D67" s="6" t="s">
        <v>27</v>
      </c>
      <c r="E67" s="6" t="s">
        <v>28</v>
      </c>
      <c r="F67" s="6" t="s">
        <v>29</v>
      </c>
      <c r="G67" s="6" t="s">
        <v>30</v>
      </c>
      <c r="H67" s="6">
        <v>50</v>
      </c>
      <c r="I67" s="6">
        <v>80</v>
      </c>
      <c r="J67" s="6">
        <v>4000</v>
      </c>
      <c r="K67" s="6">
        <v>3000</v>
      </c>
      <c r="L67" s="6">
        <v>1000</v>
      </c>
    </row>
    <row r="68" spans="1:12" x14ac:dyDescent="0.15">
      <c r="A68" s="6" t="s">
        <v>102</v>
      </c>
      <c r="B68" s="7">
        <v>45782</v>
      </c>
      <c r="C68" s="6" t="s">
        <v>103</v>
      </c>
      <c r="D68" s="6" t="s">
        <v>21</v>
      </c>
      <c r="E68" s="6" t="s">
        <v>16</v>
      </c>
      <c r="F68" s="6" t="s">
        <v>104</v>
      </c>
      <c r="G68" s="6" t="s">
        <v>24</v>
      </c>
      <c r="H68" s="6">
        <v>25</v>
      </c>
      <c r="I68" s="6">
        <v>150</v>
      </c>
      <c r="J68" s="6">
        <v>3750</v>
      </c>
      <c r="K68" s="6">
        <v>2600</v>
      </c>
      <c r="L68" s="6">
        <v>1150</v>
      </c>
    </row>
    <row r="69" spans="1:12" x14ac:dyDescent="0.15">
      <c r="A69" s="6" t="s">
        <v>94</v>
      </c>
      <c r="B69" s="7">
        <v>45759</v>
      </c>
      <c r="C69" s="6" t="s">
        <v>95</v>
      </c>
      <c r="D69" s="6" t="s">
        <v>33</v>
      </c>
      <c r="E69" s="6" t="s">
        <v>40</v>
      </c>
      <c r="F69" s="6" t="s">
        <v>96</v>
      </c>
      <c r="G69" s="6" t="s">
        <v>36</v>
      </c>
      <c r="H69" s="6">
        <v>18</v>
      </c>
      <c r="I69" s="6">
        <v>180</v>
      </c>
      <c r="J69" s="6">
        <v>3240</v>
      </c>
      <c r="K69" s="6">
        <v>2200</v>
      </c>
      <c r="L69" s="6">
        <v>1040</v>
      </c>
    </row>
    <row r="70" spans="1:12" ht="12" customHeight="1" x14ac:dyDescent="0.15">
      <c r="A70" s="6" t="s">
        <v>75</v>
      </c>
      <c r="B70" s="7">
        <v>45724</v>
      </c>
      <c r="C70" s="6" t="s">
        <v>76</v>
      </c>
      <c r="D70" s="6" t="s">
        <v>21</v>
      </c>
      <c r="E70" s="6" t="s">
        <v>40</v>
      </c>
      <c r="F70" s="6" t="s">
        <v>77</v>
      </c>
      <c r="G70" s="6" t="s">
        <v>24</v>
      </c>
      <c r="H70" s="6">
        <v>60</v>
      </c>
      <c r="I70" s="6">
        <v>50</v>
      </c>
      <c r="J70" s="6">
        <v>3000</v>
      </c>
      <c r="K70" s="6">
        <v>2000</v>
      </c>
      <c r="L70" s="6">
        <v>1000</v>
      </c>
    </row>
    <row r="71" spans="1:12" x14ac:dyDescent="0.15">
      <c r="A71" s="6" t="s">
        <v>100</v>
      </c>
      <c r="B71" s="7">
        <v>45767</v>
      </c>
      <c r="C71" s="6" t="s">
        <v>47</v>
      </c>
      <c r="D71" s="6" t="s">
        <v>15</v>
      </c>
      <c r="E71" s="6" t="s">
        <v>28</v>
      </c>
      <c r="F71" s="6" t="s">
        <v>101</v>
      </c>
      <c r="G71" s="6" t="s">
        <v>18</v>
      </c>
      <c r="H71" s="6">
        <v>10</v>
      </c>
      <c r="I71" s="6">
        <v>250</v>
      </c>
      <c r="J71" s="6">
        <v>2500</v>
      </c>
      <c r="K71" s="6">
        <v>1800</v>
      </c>
      <c r="L71" s="6">
        <v>700</v>
      </c>
    </row>
    <row r="72" spans="1:12" x14ac:dyDescent="0.15">
      <c r="A72" s="6" t="s">
        <v>55</v>
      </c>
      <c r="B72" s="7">
        <v>45694</v>
      </c>
      <c r="C72" s="6" t="s">
        <v>42</v>
      </c>
      <c r="D72" s="6" t="s">
        <v>39</v>
      </c>
      <c r="E72" s="6" t="s">
        <v>34</v>
      </c>
      <c r="F72" s="6" t="s">
        <v>56</v>
      </c>
      <c r="G72" s="6" t="s">
        <v>42</v>
      </c>
      <c r="H72" s="6">
        <v>100</v>
      </c>
      <c r="I72" s="6">
        <v>25</v>
      </c>
      <c r="J72" s="6">
        <v>2500</v>
      </c>
      <c r="K72" s="6">
        <v>1800</v>
      </c>
      <c r="L72" s="6">
        <v>700</v>
      </c>
    </row>
    <row r="73" spans="1:12" x14ac:dyDescent="0.15">
      <c r="A73" s="6" t="s">
        <v>114</v>
      </c>
      <c r="B73" s="7">
        <v>45809</v>
      </c>
      <c r="C73" s="6" t="s">
        <v>115</v>
      </c>
      <c r="D73" s="6" t="s">
        <v>15</v>
      </c>
      <c r="E73" s="6" t="s">
        <v>16</v>
      </c>
      <c r="F73" s="6" t="s">
        <v>116</v>
      </c>
      <c r="G73" s="6" t="s">
        <v>18</v>
      </c>
      <c r="H73" s="6">
        <v>12</v>
      </c>
      <c r="I73" s="6">
        <v>200</v>
      </c>
      <c r="J73" s="6">
        <v>2400</v>
      </c>
      <c r="K73" s="6">
        <v>1600</v>
      </c>
      <c r="L73" s="6">
        <v>800</v>
      </c>
    </row>
    <row r="74" spans="1:12" x14ac:dyDescent="0.15">
      <c r="A74" s="6" t="s">
        <v>91</v>
      </c>
      <c r="B74" s="7">
        <v>45755</v>
      </c>
      <c r="C74" s="6" t="s">
        <v>92</v>
      </c>
      <c r="D74" s="6" t="s">
        <v>27</v>
      </c>
      <c r="E74" s="6" t="s">
        <v>34</v>
      </c>
      <c r="F74" s="6" t="s">
        <v>93</v>
      </c>
      <c r="G74" s="6" t="s">
        <v>30</v>
      </c>
      <c r="H74" s="6">
        <v>100</v>
      </c>
      <c r="I74" s="6">
        <v>20</v>
      </c>
      <c r="J74" s="6">
        <v>2000</v>
      </c>
      <c r="K74" s="6">
        <v>1400</v>
      </c>
      <c r="L74" s="6">
        <v>600</v>
      </c>
    </row>
    <row r="75" spans="1:12" x14ac:dyDescent="0.15">
      <c r="A75" s="6" t="s">
        <v>72</v>
      </c>
      <c r="B75" s="7">
        <v>45721</v>
      </c>
      <c r="C75" s="6" t="s">
        <v>73</v>
      </c>
      <c r="D75" s="6" t="s">
        <v>15</v>
      </c>
      <c r="E75" s="6" t="s">
        <v>34</v>
      </c>
      <c r="F75" s="6" t="s">
        <v>74</v>
      </c>
      <c r="G75" s="6" t="s">
        <v>18</v>
      </c>
      <c r="H75" s="6">
        <v>20</v>
      </c>
      <c r="I75" s="6">
        <v>100</v>
      </c>
      <c r="J75" s="6">
        <v>2000</v>
      </c>
      <c r="K75" s="6">
        <v>1400</v>
      </c>
      <c r="L75" s="6">
        <v>600</v>
      </c>
    </row>
    <row r="76" spans="1:12" x14ac:dyDescent="0.15">
      <c r="A76" s="6" t="s">
        <v>57</v>
      </c>
      <c r="B76" s="7">
        <v>45698</v>
      </c>
      <c r="C76" s="6" t="s">
        <v>58</v>
      </c>
      <c r="D76" s="6" t="s">
        <v>15</v>
      </c>
      <c r="E76" s="6" t="s">
        <v>40</v>
      </c>
      <c r="F76" s="6" t="s">
        <v>59</v>
      </c>
      <c r="G76" s="6" t="s">
        <v>18</v>
      </c>
      <c r="H76" s="6">
        <v>12</v>
      </c>
      <c r="I76" s="6">
        <v>150</v>
      </c>
      <c r="J76" s="6">
        <v>1800</v>
      </c>
      <c r="K76" s="6">
        <v>1200</v>
      </c>
      <c r="L76" s="6">
        <v>600</v>
      </c>
    </row>
    <row r="80" spans="1:12" x14ac:dyDescent="0.15">
      <c r="A80" s="8" t="s">
        <v>123</v>
      </c>
      <c r="B80" s="8" t="s">
        <v>124</v>
      </c>
    </row>
    <row r="81" spans="1:13" ht="27" customHeight="1" x14ac:dyDescent="0.15">
      <c r="A81" s="1" t="s">
        <v>0</v>
      </c>
      <c r="B81" s="1" t="s">
        <v>1</v>
      </c>
      <c r="C81" s="1" t="s">
        <v>2</v>
      </c>
      <c r="D81" s="1" t="s">
        <v>3</v>
      </c>
      <c r="E81" s="1" t="s">
        <v>4</v>
      </c>
      <c r="F81" s="1" t="s">
        <v>5</v>
      </c>
      <c r="G81" s="1" t="s">
        <v>6</v>
      </c>
      <c r="H81" s="1" t="s">
        <v>7</v>
      </c>
      <c r="I81" s="1" t="s">
        <v>8</v>
      </c>
      <c r="J81" s="1" t="s">
        <v>9</v>
      </c>
      <c r="K81" s="1" t="s">
        <v>10</v>
      </c>
      <c r="L81" s="1" t="s">
        <v>11</v>
      </c>
      <c r="M81" s="8" t="s">
        <v>12</v>
      </c>
    </row>
    <row r="82" spans="1:13" ht="27" customHeight="1" x14ac:dyDescent="0.15">
      <c r="A82" s="2" t="s">
        <v>13</v>
      </c>
      <c r="B82" s="3">
        <v>45662</v>
      </c>
      <c r="C82" s="2" t="s">
        <v>14</v>
      </c>
      <c r="D82" s="2" t="s">
        <v>15</v>
      </c>
      <c r="E82" s="2" t="s">
        <v>16</v>
      </c>
      <c r="F82" s="2" t="s">
        <v>17</v>
      </c>
      <c r="G82" s="2" t="s">
        <v>18</v>
      </c>
      <c r="H82" s="2">
        <v>5</v>
      </c>
      <c r="I82" s="2">
        <v>5500</v>
      </c>
      <c r="J82" s="2">
        <v>27500</v>
      </c>
      <c r="K82" s="2">
        <v>20000</v>
      </c>
      <c r="L82" s="2">
        <v>7500</v>
      </c>
      <c r="M82" s="15" t="str">
        <f t="shared" ref="M82:M112" si="1">IF(J82&gt;=15000,"优秀",IF(J82&gt;=10000,"良好",IF(J82&gt;=6000,"中等","待提升")))</f>
        <v>优秀</v>
      </c>
    </row>
    <row r="83" spans="1:13" hidden="1" x14ac:dyDescent="0.15">
      <c r="A83" s="2" t="s">
        <v>19</v>
      </c>
      <c r="B83" s="3">
        <v>45664</v>
      </c>
      <c r="C83" s="2" t="s">
        <v>20</v>
      </c>
      <c r="D83" s="2" t="s">
        <v>21</v>
      </c>
      <c r="E83" s="2" t="s">
        <v>22</v>
      </c>
      <c r="F83" s="2" t="s">
        <v>23</v>
      </c>
      <c r="G83" s="2" t="s">
        <v>24</v>
      </c>
      <c r="H83" s="2">
        <v>10</v>
      </c>
      <c r="I83" s="2">
        <v>1200</v>
      </c>
      <c r="J83" s="2">
        <v>12000</v>
      </c>
      <c r="K83" s="2">
        <v>9000</v>
      </c>
      <c r="L83" s="2">
        <v>3000</v>
      </c>
      <c r="M83" s="15" t="str">
        <f t="shared" si="1"/>
        <v>良好</v>
      </c>
    </row>
    <row r="84" spans="1:13" hidden="1" x14ac:dyDescent="0.15">
      <c r="A84" s="2" t="s">
        <v>25</v>
      </c>
      <c r="B84" s="3">
        <v>45667</v>
      </c>
      <c r="C84" s="2" t="s">
        <v>26</v>
      </c>
      <c r="D84" s="2" t="s">
        <v>27</v>
      </c>
      <c r="E84" s="2" t="s">
        <v>28</v>
      </c>
      <c r="F84" s="2" t="s">
        <v>29</v>
      </c>
      <c r="G84" s="2" t="s">
        <v>30</v>
      </c>
      <c r="H84" s="2">
        <v>50</v>
      </c>
      <c r="I84" s="2">
        <v>80</v>
      </c>
      <c r="J84" s="2">
        <v>4000</v>
      </c>
      <c r="K84" s="2">
        <v>3000</v>
      </c>
      <c r="L84" s="2">
        <v>1000</v>
      </c>
      <c r="M84" s="15" t="str">
        <f t="shared" si="1"/>
        <v>待提升</v>
      </c>
    </row>
    <row r="85" spans="1:13" hidden="1" x14ac:dyDescent="0.15">
      <c r="A85" s="2" t="s">
        <v>31</v>
      </c>
      <c r="B85" s="3">
        <v>45669</v>
      </c>
      <c r="C85" s="2" t="s">
        <v>32</v>
      </c>
      <c r="D85" s="2" t="s">
        <v>33</v>
      </c>
      <c r="E85" s="2" t="s">
        <v>34</v>
      </c>
      <c r="F85" s="2" t="s">
        <v>35</v>
      </c>
      <c r="G85" s="2" t="s">
        <v>36</v>
      </c>
      <c r="H85" s="2">
        <v>3</v>
      </c>
      <c r="I85" s="2">
        <v>1500</v>
      </c>
      <c r="J85" s="2">
        <v>4500</v>
      </c>
      <c r="K85" s="2">
        <v>3200</v>
      </c>
      <c r="L85" s="2">
        <v>1300</v>
      </c>
      <c r="M85" s="15" t="str">
        <f t="shared" si="1"/>
        <v>待提升</v>
      </c>
    </row>
    <row r="86" spans="1:13" hidden="1" x14ac:dyDescent="0.15">
      <c r="A86" s="2" t="s">
        <v>37</v>
      </c>
      <c r="B86" s="3">
        <v>45672</v>
      </c>
      <c r="C86" s="2" t="s">
        <v>38</v>
      </c>
      <c r="D86" s="2" t="s">
        <v>39</v>
      </c>
      <c r="E86" s="2" t="s">
        <v>40</v>
      </c>
      <c r="F86" s="2" t="s">
        <v>41</v>
      </c>
      <c r="G86" s="2" t="s">
        <v>42</v>
      </c>
      <c r="H86" s="2">
        <v>20</v>
      </c>
      <c r="I86" s="2">
        <v>200</v>
      </c>
      <c r="J86" s="2">
        <v>4000</v>
      </c>
      <c r="K86" s="2">
        <v>2800</v>
      </c>
      <c r="L86" s="2">
        <v>1200</v>
      </c>
      <c r="M86" s="15" t="str">
        <f t="shared" si="1"/>
        <v>待提升</v>
      </c>
    </row>
    <row r="87" spans="1:13" x14ac:dyDescent="0.15">
      <c r="A87" s="2" t="s">
        <v>43</v>
      </c>
      <c r="B87" s="3">
        <v>45675</v>
      </c>
      <c r="C87" s="2" t="s">
        <v>44</v>
      </c>
      <c r="D87" s="2" t="s">
        <v>15</v>
      </c>
      <c r="E87" s="2" t="s">
        <v>16</v>
      </c>
      <c r="F87" s="2" t="s">
        <v>45</v>
      </c>
      <c r="G87" s="2" t="s">
        <v>18</v>
      </c>
      <c r="H87" s="2">
        <v>8</v>
      </c>
      <c r="I87" s="2">
        <v>3000</v>
      </c>
      <c r="J87" s="2">
        <v>24000</v>
      </c>
      <c r="K87" s="2">
        <v>18000</v>
      </c>
      <c r="L87" s="2">
        <v>6000</v>
      </c>
      <c r="M87" s="15" t="str">
        <f t="shared" si="1"/>
        <v>优秀</v>
      </c>
    </row>
    <row r="88" spans="1:13" hidden="1" x14ac:dyDescent="0.15">
      <c r="A88" s="2" t="s">
        <v>46</v>
      </c>
      <c r="B88" s="3">
        <v>45677</v>
      </c>
      <c r="C88" s="2" t="s">
        <v>47</v>
      </c>
      <c r="D88" s="2" t="s">
        <v>21</v>
      </c>
      <c r="E88" s="2" t="s">
        <v>22</v>
      </c>
      <c r="F88" s="2" t="s">
        <v>48</v>
      </c>
      <c r="G88" s="2" t="s">
        <v>24</v>
      </c>
      <c r="H88" s="2">
        <v>15</v>
      </c>
      <c r="I88" s="2">
        <v>500</v>
      </c>
      <c r="J88" s="2">
        <v>7500</v>
      </c>
      <c r="K88" s="2">
        <v>5500</v>
      </c>
      <c r="L88" s="2">
        <v>2000</v>
      </c>
      <c r="M88" s="15" t="str">
        <f t="shared" si="1"/>
        <v>中等</v>
      </c>
    </row>
    <row r="89" spans="1:13" hidden="1" x14ac:dyDescent="0.15">
      <c r="A89" s="2" t="s">
        <v>49</v>
      </c>
      <c r="B89" s="3">
        <v>45689</v>
      </c>
      <c r="C89" s="2" t="s">
        <v>50</v>
      </c>
      <c r="D89" s="2" t="s">
        <v>27</v>
      </c>
      <c r="E89" s="2" t="s">
        <v>28</v>
      </c>
      <c r="F89" s="2" t="s">
        <v>51</v>
      </c>
      <c r="G89" s="2" t="s">
        <v>30</v>
      </c>
      <c r="H89" s="2">
        <v>30</v>
      </c>
      <c r="I89" s="2">
        <v>150</v>
      </c>
      <c r="J89" s="2">
        <v>4500</v>
      </c>
      <c r="K89" s="2">
        <v>3200</v>
      </c>
      <c r="L89" s="2">
        <v>1300</v>
      </c>
      <c r="M89" s="15" t="str">
        <f t="shared" si="1"/>
        <v>待提升</v>
      </c>
    </row>
    <row r="90" spans="1:13" hidden="1" x14ac:dyDescent="0.15">
      <c r="A90" s="2" t="s">
        <v>52</v>
      </c>
      <c r="B90" s="3">
        <v>45691</v>
      </c>
      <c r="C90" s="2" t="s">
        <v>53</v>
      </c>
      <c r="D90" s="2" t="s">
        <v>33</v>
      </c>
      <c r="E90" s="2" t="s">
        <v>16</v>
      </c>
      <c r="F90" s="2" t="s">
        <v>54</v>
      </c>
      <c r="G90" s="2" t="s">
        <v>36</v>
      </c>
      <c r="H90" s="2">
        <v>6</v>
      </c>
      <c r="I90" s="2">
        <v>2800</v>
      </c>
      <c r="J90" s="2">
        <v>16800</v>
      </c>
      <c r="K90" s="2">
        <v>12000</v>
      </c>
      <c r="L90" s="2">
        <v>4800</v>
      </c>
      <c r="M90" s="15" t="str">
        <f t="shared" si="1"/>
        <v>优秀</v>
      </c>
    </row>
    <row r="91" spans="1:13" hidden="1" x14ac:dyDescent="0.15">
      <c r="A91" s="2" t="s">
        <v>55</v>
      </c>
      <c r="B91" s="3">
        <v>45694</v>
      </c>
      <c r="C91" s="2" t="s">
        <v>42</v>
      </c>
      <c r="D91" s="2" t="s">
        <v>39</v>
      </c>
      <c r="E91" s="2" t="s">
        <v>34</v>
      </c>
      <c r="F91" s="2" t="s">
        <v>56</v>
      </c>
      <c r="G91" s="2" t="s">
        <v>42</v>
      </c>
      <c r="H91" s="2">
        <v>100</v>
      </c>
      <c r="I91" s="2">
        <v>25</v>
      </c>
      <c r="J91" s="2">
        <v>2500</v>
      </c>
      <c r="K91" s="2">
        <v>1800</v>
      </c>
      <c r="L91" s="2">
        <v>700</v>
      </c>
      <c r="M91" s="15" t="str">
        <f t="shared" si="1"/>
        <v>待提升</v>
      </c>
    </row>
    <row r="92" spans="1:13" hidden="1" x14ac:dyDescent="0.15">
      <c r="A92" s="2" t="s">
        <v>57</v>
      </c>
      <c r="B92" s="3">
        <v>45698</v>
      </c>
      <c r="C92" s="2" t="s">
        <v>58</v>
      </c>
      <c r="D92" s="2" t="s">
        <v>15</v>
      </c>
      <c r="E92" s="2" t="s">
        <v>40</v>
      </c>
      <c r="F92" s="2" t="s">
        <v>59</v>
      </c>
      <c r="G92" s="2" t="s">
        <v>18</v>
      </c>
      <c r="H92" s="2">
        <v>12</v>
      </c>
      <c r="I92" s="2">
        <v>150</v>
      </c>
      <c r="J92" s="2">
        <v>1800</v>
      </c>
      <c r="K92" s="2">
        <v>1200</v>
      </c>
      <c r="L92" s="2">
        <v>600</v>
      </c>
      <c r="M92" s="15" t="str">
        <f t="shared" si="1"/>
        <v>待提升</v>
      </c>
    </row>
    <row r="93" spans="1:13" hidden="1" x14ac:dyDescent="0.15">
      <c r="A93" s="2" t="s">
        <v>60</v>
      </c>
      <c r="B93" s="3">
        <v>45702</v>
      </c>
      <c r="C93" s="2" t="s">
        <v>61</v>
      </c>
      <c r="D93" s="2" t="s">
        <v>21</v>
      </c>
      <c r="E93" s="2" t="s">
        <v>16</v>
      </c>
      <c r="F93" s="2" t="s">
        <v>62</v>
      </c>
      <c r="G93" s="2" t="s">
        <v>24</v>
      </c>
      <c r="H93" s="2">
        <v>4</v>
      </c>
      <c r="I93" s="2">
        <v>4500</v>
      </c>
      <c r="J93" s="2">
        <v>18000</v>
      </c>
      <c r="K93" s="2">
        <v>13000</v>
      </c>
      <c r="L93" s="2">
        <v>5000</v>
      </c>
      <c r="M93" s="15" t="str">
        <f t="shared" si="1"/>
        <v>优秀</v>
      </c>
    </row>
    <row r="94" spans="1:13" hidden="1" x14ac:dyDescent="0.15">
      <c r="A94" s="2" t="s">
        <v>63</v>
      </c>
      <c r="B94" s="3">
        <v>45706</v>
      </c>
      <c r="C94" s="2" t="s">
        <v>64</v>
      </c>
      <c r="D94" s="2" t="s">
        <v>27</v>
      </c>
      <c r="E94" s="2" t="s">
        <v>22</v>
      </c>
      <c r="F94" s="2" t="s">
        <v>65</v>
      </c>
      <c r="G94" s="2" t="s">
        <v>30</v>
      </c>
      <c r="H94" s="2">
        <v>7</v>
      </c>
      <c r="I94" s="2">
        <v>800</v>
      </c>
      <c r="J94" s="2">
        <v>5600</v>
      </c>
      <c r="K94" s="2">
        <v>4000</v>
      </c>
      <c r="L94" s="2">
        <v>1600</v>
      </c>
      <c r="M94" s="15" t="str">
        <f t="shared" si="1"/>
        <v>待提升</v>
      </c>
    </row>
    <row r="95" spans="1:13" hidden="1" x14ac:dyDescent="0.15">
      <c r="A95" s="2" t="s">
        <v>66</v>
      </c>
      <c r="B95" s="3">
        <v>45708</v>
      </c>
      <c r="C95" s="2" t="s">
        <v>67</v>
      </c>
      <c r="D95" s="2" t="s">
        <v>33</v>
      </c>
      <c r="E95" s="2" t="s">
        <v>28</v>
      </c>
      <c r="F95" s="2" t="s">
        <v>68</v>
      </c>
      <c r="G95" s="2" t="s">
        <v>36</v>
      </c>
      <c r="H95" s="2">
        <v>25</v>
      </c>
      <c r="I95" s="2">
        <v>200</v>
      </c>
      <c r="J95" s="2">
        <v>5000</v>
      </c>
      <c r="K95" s="2">
        <v>3500</v>
      </c>
      <c r="L95" s="2">
        <v>1500</v>
      </c>
      <c r="M95" s="15" t="str">
        <f t="shared" si="1"/>
        <v>待提升</v>
      </c>
    </row>
    <row r="96" spans="1:13" hidden="1" x14ac:dyDescent="0.15">
      <c r="A96" s="2" t="s">
        <v>69</v>
      </c>
      <c r="B96" s="3">
        <v>45718</v>
      </c>
      <c r="C96" s="2" t="s">
        <v>70</v>
      </c>
      <c r="D96" s="2" t="s">
        <v>39</v>
      </c>
      <c r="E96" s="2" t="s">
        <v>16</v>
      </c>
      <c r="F96" s="2" t="s">
        <v>71</v>
      </c>
      <c r="G96" s="2" t="s">
        <v>42</v>
      </c>
      <c r="H96" s="2">
        <v>15</v>
      </c>
      <c r="I96" s="2">
        <v>1500</v>
      </c>
      <c r="J96" s="2">
        <v>22500</v>
      </c>
      <c r="K96" s="2">
        <v>16000</v>
      </c>
      <c r="L96" s="2">
        <v>6500</v>
      </c>
      <c r="M96" s="15" t="str">
        <f t="shared" si="1"/>
        <v>优秀</v>
      </c>
    </row>
    <row r="97" spans="1:13" hidden="1" x14ac:dyDescent="0.15">
      <c r="A97" s="2" t="s">
        <v>72</v>
      </c>
      <c r="B97" s="3">
        <v>45721</v>
      </c>
      <c r="C97" s="2" t="s">
        <v>73</v>
      </c>
      <c r="D97" s="2" t="s">
        <v>15</v>
      </c>
      <c r="E97" s="2" t="s">
        <v>34</v>
      </c>
      <c r="F97" s="2" t="s">
        <v>74</v>
      </c>
      <c r="G97" s="2" t="s">
        <v>18</v>
      </c>
      <c r="H97" s="2">
        <v>20</v>
      </c>
      <c r="I97" s="2">
        <v>100</v>
      </c>
      <c r="J97" s="2">
        <v>2000</v>
      </c>
      <c r="K97" s="2">
        <v>1400</v>
      </c>
      <c r="L97" s="2">
        <v>600</v>
      </c>
      <c r="M97" s="15" t="str">
        <f t="shared" si="1"/>
        <v>待提升</v>
      </c>
    </row>
    <row r="98" spans="1:13" ht="27" hidden="1" customHeight="1" x14ac:dyDescent="0.15">
      <c r="A98" s="2" t="s">
        <v>75</v>
      </c>
      <c r="B98" s="3">
        <v>45724</v>
      </c>
      <c r="C98" s="2" t="s">
        <v>76</v>
      </c>
      <c r="D98" s="2" t="s">
        <v>21</v>
      </c>
      <c r="E98" s="2" t="s">
        <v>40</v>
      </c>
      <c r="F98" s="2" t="s">
        <v>77</v>
      </c>
      <c r="G98" s="2" t="s">
        <v>24</v>
      </c>
      <c r="H98" s="2">
        <v>60</v>
      </c>
      <c r="I98" s="2">
        <v>50</v>
      </c>
      <c r="J98" s="2">
        <v>3000</v>
      </c>
      <c r="K98" s="2">
        <v>2000</v>
      </c>
      <c r="L98" s="2">
        <v>1000</v>
      </c>
      <c r="M98" s="15" t="str">
        <f t="shared" si="1"/>
        <v>待提升</v>
      </c>
    </row>
    <row r="99" spans="1:13" hidden="1" x14ac:dyDescent="0.15">
      <c r="A99" s="2" t="s">
        <v>78</v>
      </c>
      <c r="B99" s="3">
        <v>45728</v>
      </c>
      <c r="C99" s="2" t="s">
        <v>79</v>
      </c>
      <c r="D99" s="2" t="s">
        <v>27</v>
      </c>
      <c r="E99" s="2" t="s">
        <v>22</v>
      </c>
      <c r="F99" s="2" t="s">
        <v>80</v>
      </c>
      <c r="G99" s="2" t="s">
        <v>30</v>
      </c>
      <c r="H99" s="2">
        <v>2</v>
      </c>
      <c r="I99" s="2">
        <v>3000</v>
      </c>
      <c r="J99" s="2">
        <v>6000</v>
      </c>
      <c r="K99" s="2">
        <v>4500</v>
      </c>
      <c r="L99" s="2">
        <v>1500</v>
      </c>
      <c r="M99" s="15" t="str">
        <f t="shared" si="1"/>
        <v>中等</v>
      </c>
    </row>
    <row r="100" spans="1:13" hidden="1" x14ac:dyDescent="0.15">
      <c r="A100" s="2" t="s">
        <v>81</v>
      </c>
      <c r="B100" s="3">
        <v>45731</v>
      </c>
      <c r="C100" s="2" t="s">
        <v>82</v>
      </c>
      <c r="D100" s="2" t="s">
        <v>33</v>
      </c>
      <c r="E100" s="2" t="s">
        <v>16</v>
      </c>
      <c r="F100" s="2" t="s">
        <v>83</v>
      </c>
      <c r="G100" s="2" t="s">
        <v>36</v>
      </c>
      <c r="H100" s="2">
        <v>30</v>
      </c>
      <c r="I100" s="2">
        <v>300</v>
      </c>
      <c r="J100" s="2">
        <v>9000</v>
      </c>
      <c r="K100" s="2">
        <v>6500</v>
      </c>
      <c r="L100" s="2">
        <v>2500</v>
      </c>
      <c r="M100" s="15" t="str">
        <f t="shared" si="1"/>
        <v>中等</v>
      </c>
    </row>
    <row r="101" spans="1:13" hidden="1" x14ac:dyDescent="0.15">
      <c r="A101" s="2" t="s">
        <v>84</v>
      </c>
      <c r="B101" s="3">
        <v>45734</v>
      </c>
      <c r="C101" s="2" t="s">
        <v>36</v>
      </c>
      <c r="D101" s="2" t="s">
        <v>39</v>
      </c>
      <c r="E101" s="2" t="s">
        <v>28</v>
      </c>
      <c r="F101" s="2" t="s">
        <v>85</v>
      </c>
      <c r="G101" s="2" t="s">
        <v>42</v>
      </c>
      <c r="H101" s="2">
        <v>40</v>
      </c>
      <c r="I101" s="2">
        <v>100</v>
      </c>
      <c r="J101" s="2">
        <v>4000</v>
      </c>
      <c r="K101" s="2">
        <v>2800</v>
      </c>
      <c r="L101" s="2">
        <v>1200</v>
      </c>
      <c r="M101" s="15" t="str">
        <f t="shared" si="1"/>
        <v>待提升</v>
      </c>
    </row>
    <row r="102" spans="1:13" hidden="1" x14ac:dyDescent="0.15">
      <c r="A102" s="2" t="s">
        <v>86</v>
      </c>
      <c r="B102" s="3">
        <v>45748</v>
      </c>
      <c r="C102" s="2" t="s">
        <v>24</v>
      </c>
      <c r="D102" s="2" t="s">
        <v>15</v>
      </c>
      <c r="E102" s="2" t="s">
        <v>16</v>
      </c>
      <c r="F102" s="2" t="s">
        <v>87</v>
      </c>
      <c r="G102" s="2" t="s">
        <v>18</v>
      </c>
      <c r="H102" s="2">
        <v>5</v>
      </c>
      <c r="I102" s="2">
        <v>1200</v>
      </c>
      <c r="J102" s="2">
        <v>6000</v>
      </c>
      <c r="K102" s="2">
        <v>4200</v>
      </c>
      <c r="L102" s="2">
        <v>1800</v>
      </c>
      <c r="M102" s="15" t="str">
        <f t="shared" si="1"/>
        <v>中等</v>
      </c>
    </row>
    <row r="103" spans="1:13" hidden="1" x14ac:dyDescent="0.15">
      <c r="A103" s="2" t="s">
        <v>88</v>
      </c>
      <c r="B103" s="3">
        <v>45752</v>
      </c>
      <c r="C103" s="2" t="s">
        <v>89</v>
      </c>
      <c r="D103" s="2" t="s">
        <v>21</v>
      </c>
      <c r="E103" s="2" t="s">
        <v>22</v>
      </c>
      <c r="F103" s="2" t="s">
        <v>90</v>
      </c>
      <c r="G103" s="2" t="s">
        <v>24</v>
      </c>
      <c r="H103" s="2">
        <v>3</v>
      </c>
      <c r="I103" s="2">
        <v>1500</v>
      </c>
      <c r="J103" s="2">
        <v>4500</v>
      </c>
      <c r="K103" s="2">
        <v>3200</v>
      </c>
      <c r="L103" s="2">
        <v>1300</v>
      </c>
      <c r="M103" s="15" t="str">
        <f t="shared" si="1"/>
        <v>待提升</v>
      </c>
    </row>
    <row r="104" spans="1:13" hidden="1" x14ac:dyDescent="0.15">
      <c r="A104" s="2" t="s">
        <v>91</v>
      </c>
      <c r="B104" s="3">
        <v>45755</v>
      </c>
      <c r="C104" s="2" t="s">
        <v>92</v>
      </c>
      <c r="D104" s="2" t="s">
        <v>27</v>
      </c>
      <c r="E104" s="2" t="s">
        <v>34</v>
      </c>
      <c r="F104" s="2" t="s">
        <v>93</v>
      </c>
      <c r="G104" s="2" t="s">
        <v>30</v>
      </c>
      <c r="H104" s="2">
        <v>100</v>
      </c>
      <c r="I104" s="2">
        <v>20</v>
      </c>
      <c r="J104" s="2">
        <v>2000</v>
      </c>
      <c r="K104" s="2">
        <v>1400</v>
      </c>
      <c r="L104" s="2">
        <v>600</v>
      </c>
      <c r="M104" s="15" t="str">
        <f t="shared" si="1"/>
        <v>待提升</v>
      </c>
    </row>
    <row r="105" spans="1:13" hidden="1" x14ac:dyDescent="0.15">
      <c r="A105" s="2" t="s">
        <v>94</v>
      </c>
      <c r="B105" s="3">
        <v>45759</v>
      </c>
      <c r="C105" s="2" t="s">
        <v>95</v>
      </c>
      <c r="D105" s="2" t="s">
        <v>33</v>
      </c>
      <c r="E105" s="2" t="s">
        <v>40</v>
      </c>
      <c r="F105" s="2" t="s">
        <v>96</v>
      </c>
      <c r="G105" s="2" t="s">
        <v>36</v>
      </c>
      <c r="H105" s="2">
        <v>18</v>
      </c>
      <c r="I105" s="2">
        <v>180</v>
      </c>
      <c r="J105" s="2">
        <v>3240</v>
      </c>
      <c r="K105" s="2">
        <v>2200</v>
      </c>
      <c r="L105" s="2">
        <v>1040</v>
      </c>
      <c r="M105" s="15" t="str">
        <f t="shared" si="1"/>
        <v>待提升</v>
      </c>
    </row>
    <row r="106" spans="1:13" hidden="1" x14ac:dyDescent="0.15">
      <c r="A106" s="2" t="s">
        <v>97</v>
      </c>
      <c r="B106" s="3">
        <v>45762</v>
      </c>
      <c r="C106" s="2" t="s">
        <v>98</v>
      </c>
      <c r="D106" s="2" t="s">
        <v>39</v>
      </c>
      <c r="E106" s="2" t="s">
        <v>16</v>
      </c>
      <c r="F106" s="2" t="s">
        <v>99</v>
      </c>
      <c r="G106" s="2" t="s">
        <v>42</v>
      </c>
      <c r="H106" s="2">
        <v>1</v>
      </c>
      <c r="I106" s="2">
        <v>8000</v>
      </c>
      <c r="J106" s="2">
        <v>8000</v>
      </c>
      <c r="K106" s="2">
        <v>6000</v>
      </c>
      <c r="L106" s="2">
        <v>2000</v>
      </c>
      <c r="M106" s="15" t="str">
        <f t="shared" si="1"/>
        <v>中等</v>
      </c>
    </row>
    <row r="107" spans="1:13" hidden="1" x14ac:dyDescent="0.15">
      <c r="A107" s="2" t="s">
        <v>100</v>
      </c>
      <c r="B107" s="3">
        <v>45767</v>
      </c>
      <c r="C107" s="2" t="s">
        <v>47</v>
      </c>
      <c r="D107" s="2" t="s">
        <v>15</v>
      </c>
      <c r="E107" s="2" t="s">
        <v>28</v>
      </c>
      <c r="F107" s="2" t="s">
        <v>101</v>
      </c>
      <c r="G107" s="2" t="s">
        <v>18</v>
      </c>
      <c r="H107" s="2">
        <v>10</v>
      </c>
      <c r="I107" s="2">
        <v>250</v>
      </c>
      <c r="J107" s="2">
        <v>2500</v>
      </c>
      <c r="K107" s="2">
        <v>1800</v>
      </c>
      <c r="L107" s="2">
        <v>700</v>
      </c>
      <c r="M107" s="15" t="str">
        <f t="shared" si="1"/>
        <v>待提升</v>
      </c>
    </row>
    <row r="108" spans="1:13" hidden="1" x14ac:dyDescent="0.15">
      <c r="A108" s="2" t="s">
        <v>102</v>
      </c>
      <c r="B108" s="3">
        <v>45782</v>
      </c>
      <c r="C108" s="2" t="s">
        <v>103</v>
      </c>
      <c r="D108" s="2" t="s">
        <v>21</v>
      </c>
      <c r="E108" s="2" t="s">
        <v>16</v>
      </c>
      <c r="F108" s="2" t="s">
        <v>104</v>
      </c>
      <c r="G108" s="2" t="s">
        <v>24</v>
      </c>
      <c r="H108" s="2">
        <v>25</v>
      </c>
      <c r="I108" s="2">
        <v>150</v>
      </c>
      <c r="J108" s="2">
        <v>3750</v>
      </c>
      <c r="K108" s="2">
        <v>2600</v>
      </c>
      <c r="L108" s="2">
        <v>1150</v>
      </c>
      <c r="M108" s="15" t="str">
        <f t="shared" si="1"/>
        <v>待提升</v>
      </c>
    </row>
    <row r="109" spans="1:13" hidden="1" x14ac:dyDescent="0.15">
      <c r="A109" s="2" t="s">
        <v>105</v>
      </c>
      <c r="B109" s="3">
        <v>45787</v>
      </c>
      <c r="C109" s="2" t="s">
        <v>106</v>
      </c>
      <c r="D109" s="2" t="s">
        <v>27</v>
      </c>
      <c r="E109" s="2" t="s">
        <v>22</v>
      </c>
      <c r="F109" s="2" t="s">
        <v>107</v>
      </c>
      <c r="G109" s="2" t="s">
        <v>30</v>
      </c>
      <c r="H109" s="2">
        <v>4</v>
      </c>
      <c r="I109" s="2">
        <v>2000</v>
      </c>
      <c r="J109" s="2">
        <v>8000</v>
      </c>
      <c r="K109" s="2">
        <v>5800</v>
      </c>
      <c r="L109" s="2">
        <v>2200</v>
      </c>
      <c r="M109" s="15" t="str">
        <f t="shared" si="1"/>
        <v>中等</v>
      </c>
    </row>
    <row r="110" spans="1:13" hidden="1" x14ac:dyDescent="0.15">
      <c r="A110" s="2" t="s">
        <v>108</v>
      </c>
      <c r="B110" s="3">
        <v>45792</v>
      </c>
      <c r="C110" s="2" t="s">
        <v>109</v>
      </c>
      <c r="D110" s="2" t="s">
        <v>33</v>
      </c>
      <c r="E110" s="2" t="s">
        <v>34</v>
      </c>
      <c r="F110" s="2" t="s">
        <v>110</v>
      </c>
      <c r="G110" s="2" t="s">
        <v>36</v>
      </c>
      <c r="H110" s="2">
        <v>2</v>
      </c>
      <c r="I110" s="2">
        <v>2500</v>
      </c>
      <c r="J110" s="2">
        <v>5000</v>
      </c>
      <c r="K110" s="2">
        <v>3600</v>
      </c>
      <c r="L110" s="2">
        <v>1400</v>
      </c>
      <c r="M110" s="15" t="str">
        <f t="shared" si="1"/>
        <v>待提升</v>
      </c>
    </row>
    <row r="111" spans="1:13" hidden="1" x14ac:dyDescent="0.15">
      <c r="A111" s="2" t="s">
        <v>111</v>
      </c>
      <c r="B111" s="3">
        <v>45797</v>
      </c>
      <c r="C111" s="2" t="s">
        <v>112</v>
      </c>
      <c r="D111" s="2" t="s">
        <v>39</v>
      </c>
      <c r="E111" s="2" t="s">
        <v>28</v>
      </c>
      <c r="F111" s="2" t="s">
        <v>113</v>
      </c>
      <c r="G111" s="2" t="s">
        <v>42</v>
      </c>
      <c r="H111" s="2">
        <v>8</v>
      </c>
      <c r="I111" s="2">
        <v>500</v>
      </c>
      <c r="J111" s="2">
        <v>4000</v>
      </c>
      <c r="K111" s="2">
        <v>2800</v>
      </c>
      <c r="L111" s="2">
        <v>1200</v>
      </c>
      <c r="M111" s="15" t="str">
        <f t="shared" si="1"/>
        <v>待提升</v>
      </c>
    </row>
    <row r="112" spans="1:13" hidden="1" x14ac:dyDescent="0.15">
      <c r="A112" s="2" t="s">
        <v>114</v>
      </c>
      <c r="B112" s="3">
        <v>45809</v>
      </c>
      <c r="C112" s="2" t="s">
        <v>115</v>
      </c>
      <c r="D112" s="2" t="s">
        <v>15</v>
      </c>
      <c r="E112" s="2" t="s">
        <v>16</v>
      </c>
      <c r="F112" s="2" t="s">
        <v>116</v>
      </c>
      <c r="G112" s="2" t="s">
        <v>18</v>
      </c>
      <c r="H112" s="2">
        <v>12</v>
      </c>
      <c r="I112" s="2">
        <v>200</v>
      </c>
      <c r="J112" s="2">
        <v>2400</v>
      </c>
      <c r="K112" s="2">
        <v>1600</v>
      </c>
      <c r="L112" s="2">
        <v>800</v>
      </c>
      <c r="M112" s="15" t="str">
        <f t="shared" si="1"/>
        <v>待提升</v>
      </c>
    </row>
    <row r="116" spans="1:2" x14ac:dyDescent="0.15">
      <c r="A116" s="8" t="s">
        <v>125</v>
      </c>
    </row>
    <row r="117" spans="1:2" x14ac:dyDescent="0.15">
      <c r="A117" s="8" t="s">
        <v>117</v>
      </c>
      <c r="B117" s="15">
        <f>SUM(saledata)</f>
        <v>233590</v>
      </c>
    </row>
    <row r="118" spans="1:2" x14ac:dyDescent="0.15">
      <c r="A118" s="8" t="s">
        <v>118</v>
      </c>
      <c r="B118" s="15">
        <f>AVERAGE(saledata)</f>
        <v>7535.1612903225805</v>
      </c>
    </row>
  </sheetData>
  <autoFilter ref="A81:M112" xr:uid="{00000000-0009-0000-0000-000000000000}">
    <filterColumn colId="3">
      <filters>
        <filter val="华北"/>
      </filters>
    </filterColumn>
    <filterColumn colId="12">
      <filters>
        <filter val="优秀"/>
      </filters>
    </filterColumn>
  </autoFilter>
  <phoneticPr fontId="2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1"/>
  <sheetViews>
    <sheetView workbookViewId="0">
      <selection activeCell="B7" sqref="B7"/>
    </sheetView>
  </sheetViews>
  <sheetFormatPr defaultColWidth="9" defaultRowHeight="13.5" x14ac:dyDescent="0.15"/>
  <cols>
    <col min="1" max="1" width="16.375" style="16" customWidth="1"/>
    <col min="4" max="4" width="11" style="16" customWidth="1"/>
  </cols>
  <sheetData>
    <row r="1" spans="1:5" ht="16.5" customHeight="1" x14ac:dyDescent="0.15">
      <c r="A1" s="9" t="s">
        <v>126</v>
      </c>
      <c r="D1" s="8" t="s">
        <v>127</v>
      </c>
      <c r="E1" s="8" t="s">
        <v>117</v>
      </c>
    </row>
    <row r="2" spans="1:5" x14ac:dyDescent="0.15">
      <c r="D2" s="4" t="s">
        <v>18</v>
      </c>
      <c r="E2" s="15">
        <f>SUMIFS(原始数据表!$J$2:$J$32, 原始数据表!$G$2:$G$32, D2)</f>
        <v>66200</v>
      </c>
    </row>
    <row r="3" spans="1:5" x14ac:dyDescent="0.15">
      <c r="A3" s="8" t="s">
        <v>128</v>
      </c>
      <c r="B3" s="4" t="s">
        <v>141</v>
      </c>
      <c r="D3" s="4" t="s">
        <v>24</v>
      </c>
      <c r="E3" s="15">
        <f>SUMIFS(原始数据表!$J$2:$J$32, 原始数据表!$G$2:$G$32, D3)</f>
        <v>48750</v>
      </c>
    </row>
    <row r="4" spans="1:5" x14ac:dyDescent="0.15">
      <c r="D4" s="4" t="s">
        <v>30</v>
      </c>
      <c r="E4" s="15">
        <f>SUMIFS(原始数据表!$J$2:$J$32, 原始数据表!$G$2:$G$32, D4)</f>
        <v>30100</v>
      </c>
    </row>
    <row r="5" spans="1:5" x14ac:dyDescent="0.15">
      <c r="A5" s="10" t="s">
        <v>2</v>
      </c>
      <c r="B5" s="11" t="str">
        <f>IFERROR(VLOOKUP($B$3, 原始数据表!$A$2:$M$32, 3, FALSE), "未找到订单")</f>
        <v>王明</v>
      </c>
      <c r="D5" s="4" t="s">
        <v>36</v>
      </c>
      <c r="E5" s="15">
        <f>SUMIFS(原始数据表!$J$2:$J$32, 原始数据表!$G$2:$G$32, D5)</f>
        <v>43540</v>
      </c>
    </row>
    <row r="6" spans="1:5" x14ac:dyDescent="0.15">
      <c r="A6" s="10" t="s">
        <v>6</v>
      </c>
      <c r="B6" s="11" t="str">
        <f>IFERROR(VLOOKUP($B$3, 原始数据表!$A$2:$M$32, 7, FALSE), "未找到订单")</f>
        <v>张伟</v>
      </c>
      <c r="D6" s="4" t="s">
        <v>42</v>
      </c>
      <c r="E6" s="15">
        <f>SUMIFS(原始数据表!$J$2:$J$32, 原始数据表!$G$2:$G$32, D6)</f>
        <v>45000</v>
      </c>
    </row>
    <row r="7" spans="1:5" x14ac:dyDescent="0.15">
      <c r="A7" s="10" t="s">
        <v>129</v>
      </c>
      <c r="B7" s="11">
        <f>IFERROR(VLOOKUP($B$3, 原始数据表!$A$2:$M$32, 10, FALSE), "未找到订单")</f>
        <v>27500</v>
      </c>
      <c r="D7" s="8" t="s">
        <v>130</v>
      </c>
      <c r="E7" s="15">
        <f>AVERAGE(E2:E6)</f>
        <v>46718</v>
      </c>
    </row>
    <row r="8" spans="1:5" x14ac:dyDescent="0.15">
      <c r="E8" s="12">
        <f>E7</f>
        <v>46718</v>
      </c>
    </row>
    <row r="9" spans="1:5" x14ac:dyDescent="0.15">
      <c r="E9" s="12">
        <f>E8</f>
        <v>46718</v>
      </c>
    </row>
    <row r="10" spans="1:5" x14ac:dyDescent="0.15">
      <c r="E10" s="12">
        <f>E9</f>
        <v>46718</v>
      </c>
    </row>
    <row r="11" spans="1:5" x14ac:dyDescent="0.15">
      <c r="E11" s="12">
        <f>E10</f>
        <v>46718</v>
      </c>
    </row>
  </sheetData>
  <phoneticPr fontId="2" type="noConversion"/>
  <pageMargins left="0.7" right="0.7" top="0.75" bottom="0.75" header="0.3" footer="0.3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1BE7911-6514-43FF-A4A2-16216C60F788}">
          <x14:formula1>
            <xm:f>原始数据表!$A$46:$A$76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10"/>
  <sheetViews>
    <sheetView workbookViewId="0">
      <pivotSelection pane="bottomRight" click="1" r:id="rId1">
        <pivotArea field="6" type="button" dataOnly="0" labelOnly="1" outline="0" axis="axisPage" fieldPosition="0"/>
      </pivotSelection>
    </sheetView>
  </sheetViews>
  <sheetFormatPr defaultColWidth="9" defaultRowHeight="13.5" x14ac:dyDescent="0.15"/>
  <cols>
    <col min="1" max="1" width="22.25" style="16" bestFit="1" customWidth="1"/>
    <col min="2" max="3" width="9.75" style="16" bestFit="1" customWidth="1"/>
    <col min="4" max="6" width="7.375" style="16" bestFit="1" customWidth="1"/>
    <col min="7" max="7" width="8.5" style="16" bestFit="1" customWidth="1"/>
  </cols>
  <sheetData>
    <row r="1" spans="1:7" x14ac:dyDescent="0.15">
      <c r="A1" s="13" t="s">
        <v>6</v>
      </c>
      <c r="B1" s="15" t="s">
        <v>131</v>
      </c>
    </row>
    <row r="3" spans="1:7" x14ac:dyDescent="0.15">
      <c r="A3" s="13" t="s">
        <v>132</v>
      </c>
      <c r="B3" s="13" t="s">
        <v>133</v>
      </c>
    </row>
    <row r="4" spans="1:7" x14ac:dyDescent="0.15">
      <c r="A4" s="13" t="s">
        <v>134</v>
      </c>
      <c r="B4" s="15" t="s">
        <v>34</v>
      </c>
      <c r="C4" s="15" t="s">
        <v>16</v>
      </c>
      <c r="D4" s="15" t="s">
        <v>28</v>
      </c>
      <c r="E4" s="15" t="s">
        <v>22</v>
      </c>
      <c r="F4" s="15" t="s">
        <v>40</v>
      </c>
      <c r="G4" s="15" t="s">
        <v>135</v>
      </c>
    </row>
    <row r="5" spans="1:7" x14ac:dyDescent="0.15">
      <c r="A5" s="14" t="s">
        <v>15</v>
      </c>
      <c r="B5" s="15">
        <v>2000</v>
      </c>
      <c r="C5" s="15">
        <v>59900</v>
      </c>
      <c r="D5" s="15">
        <v>2500</v>
      </c>
      <c r="E5" s="15"/>
      <c r="F5" s="15">
        <v>1800</v>
      </c>
      <c r="G5" s="15">
        <v>66200</v>
      </c>
    </row>
    <row r="6" spans="1:7" x14ac:dyDescent="0.15">
      <c r="A6" s="14" t="s">
        <v>21</v>
      </c>
      <c r="B6" s="15"/>
      <c r="C6" s="15">
        <v>21750</v>
      </c>
      <c r="D6" s="15"/>
      <c r="E6" s="15">
        <v>24000</v>
      </c>
      <c r="F6" s="15">
        <v>3000</v>
      </c>
      <c r="G6" s="15">
        <v>48750</v>
      </c>
    </row>
    <row r="7" spans="1:7" x14ac:dyDescent="0.15">
      <c r="A7" s="14" t="s">
        <v>27</v>
      </c>
      <c r="B7" s="15">
        <v>2000</v>
      </c>
      <c r="C7" s="15"/>
      <c r="D7" s="15">
        <v>8500</v>
      </c>
      <c r="E7" s="15">
        <v>19600</v>
      </c>
      <c r="F7" s="15"/>
      <c r="G7" s="15">
        <v>30100</v>
      </c>
    </row>
    <row r="8" spans="1:7" x14ac:dyDescent="0.15">
      <c r="A8" s="14" t="s">
        <v>39</v>
      </c>
      <c r="B8" s="15">
        <v>2500</v>
      </c>
      <c r="C8" s="15">
        <v>30500</v>
      </c>
      <c r="D8" s="15">
        <v>8000</v>
      </c>
      <c r="E8" s="15"/>
      <c r="F8" s="15">
        <v>4000</v>
      </c>
      <c r="G8" s="15">
        <v>45000</v>
      </c>
    </row>
    <row r="9" spans="1:7" x14ac:dyDescent="0.15">
      <c r="A9" s="14" t="s">
        <v>33</v>
      </c>
      <c r="B9" s="15">
        <v>9500</v>
      </c>
      <c r="C9" s="15">
        <v>25800</v>
      </c>
      <c r="D9" s="15">
        <v>5000</v>
      </c>
      <c r="E9" s="15"/>
      <c r="F9" s="15">
        <v>3240</v>
      </c>
      <c r="G9" s="15">
        <v>43540</v>
      </c>
    </row>
    <row r="10" spans="1:7" x14ac:dyDescent="0.15">
      <c r="A10" s="14" t="s">
        <v>135</v>
      </c>
      <c r="B10" s="15">
        <v>16000</v>
      </c>
      <c r="C10" s="15">
        <v>137950</v>
      </c>
      <c r="D10" s="15">
        <v>24000</v>
      </c>
      <c r="E10" s="15">
        <v>43600</v>
      </c>
      <c r="F10" s="15">
        <v>12040</v>
      </c>
      <c r="G10" s="15">
        <v>233590</v>
      </c>
    </row>
  </sheetData>
  <phoneticPr fontId="2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7"/>
  <sheetViews>
    <sheetView workbookViewId="0">
      <selection activeCell="A56" sqref="A56"/>
    </sheetView>
  </sheetViews>
  <sheetFormatPr defaultRowHeight="13.5" x14ac:dyDescent="0.15"/>
  <cols>
    <col min="1" max="1" width="35.875" style="16" customWidth="1"/>
    <col min="2" max="2" width="14" style="16" customWidth="1"/>
    <col min="3" max="3" width="16" style="16" customWidth="1"/>
    <col min="4" max="9" width="12" style="16" customWidth="1"/>
  </cols>
  <sheetData>
    <row r="1" spans="1:9" ht="27.95" customHeight="1" x14ac:dyDescent="0.2">
      <c r="A1" s="8" t="s">
        <v>136</v>
      </c>
      <c r="B1" s="17" t="s">
        <v>7</v>
      </c>
      <c r="C1" s="17" t="s">
        <v>8</v>
      </c>
      <c r="D1" s="17" t="s">
        <v>9</v>
      </c>
    </row>
    <row r="2" spans="1:9" ht="24" customHeight="1" x14ac:dyDescent="0.25">
      <c r="A2" s="18" t="s">
        <v>137</v>
      </c>
      <c r="B2" s="19">
        <v>10</v>
      </c>
      <c r="C2" s="19">
        <v>500</v>
      </c>
      <c r="D2" s="20">
        <f>B2*C2</f>
        <v>5000</v>
      </c>
    </row>
    <row r="3" spans="1:9" ht="39.950000000000003" customHeight="1" x14ac:dyDescent="0.2">
      <c r="C3" s="21" t="s">
        <v>138</v>
      </c>
      <c r="D3" s="27" t="s">
        <v>139</v>
      </c>
      <c r="E3" s="28"/>
      <c r="F3" s="28"/>
      <c r="G3" s="28"/>
      <c r="H3" s="28"/>
      <c r="I3" s="28"/>
    </row>
    <row r="4" spans="1:9" ht="24" customHeight="1" x14ac:dyDescent="0.25">
      <c r="B4" s="18" t="s">
        <v>140</v>
      </c>
      <c r="C4" s="22">
        <f>B2*C2</f>
        <v>5000</v>
      </c>
      <c r="D4" s="23">
        <v>300</v>
      </c>
      <c r="E4" s="23">
        <v>400</v>
      </c>
      <c r="F4" s="23">
        <v>500</v>
      </c>
      <c r="G4" s="23">
        <v>600</v>
      </c>
      <c r="H4" s="23">
        <v>700</v>
      </c>
      <c r="I4" s="23">
        <v>800</v>
      </c>
    </row>
    <row r="5" spans="1:9" ht="15" x14ac:dyDescent="0.25">
      <c r="C5" s="23">
        <v>5</v>
      </c>
      <c r="D5" s="24">
        <f t="dataTable" ref="D5:I10" dt2D="1" dtr="1" r1="C2" r2="B2"/>
        <v>1500</v>
      </c>
      <c r="E5" s="24">
        <v>2000</v>
      </c>
      <c r="F5" s="24">
        <v>2500</v>
      </c>
      <c r="G5" s="24">
        <v>3000</v>
      </c>
      <c r="H5" s="24">
        <v>3500</v>
      </c>
      <c r="I5" s="24">
        <v>4000</v>
      </c>
    </row>
    <row r="6" spans="1:9" ht="15" x14ac:dyDescent="0.25">
      <c r="C6" s="23">
        <v>10</v>
      </c>
      <c r="D6" s="24">
        <v>3000</v>
      </c>
      <c r="E6" s="24">
        <v>4000</v>
      </c>
      <c r="F6" s="24">
        <v>5000</v>
      </c>
      <c r="G6" s="24">
        <v>6000</v>
      </c>
      <c r="H6" s="24">
        <v>7000</v>
      </c>
      <c r="I6" s="24">
        <v>8000</v>
      </c>
    </row>
    <row r="7" spans="1:9" ht="15" x14ac:dyDescent="0.25">
      <c r="C7" s="23">
        <v>15</v>
      </c>
      <c r="D7" s="24">
        <v>4500</v>
      </c>
      <c r="E7" s="24">
        <v>6000</v>
      </c>
      <c r="F7" s="24">
        <v>7500</v>
      </c>
      <c r="G7" s="24">
        <v>9000</v>
      </c>
      <c r="H7" s="24">
        <v>10500</v>
      </c>
      <c r="I7" s="24">
        <v>12000</v>
      </c>
    </row>
    <row r="8" spans="1:9" ht="15" x14ac:dyDescent="0.25">
      <c r="C8" s="23">
        <v>20</v>
      </c>
      <c r="D8" s="24">
        <v>6000</v>
      </c>
      <c r="E8" s="24">
        <v>8000</v>
      </c>
      <c r="F8" s="24">
        <v>10000</v>
      </c>
      <c r="G8" s="24">
        <v>12000</v>
      </c>
      <c r="H8" s="24">
        <v>14000</v>
      </c>
      <c r="I8" s="24">
        <v>16000</v>
      </c>
    </row>
    <row r="9" spans="1:9" ht="15" x14ac:dyDescent="0.25">
      <c r="C9" s="23">
        <v>25</v>
      </c>
      <c r="D9" s="24">
        <v>7500</v>
      </c>
      <c r="E9" s="24">
        <v>10000</v>
      </c>
      <c r="F9" s="24">
        <v>12500</v>
      </c>
      <c r="G9" s="24">
        <v>15000</v>
      </c>
      <c r="H9" s="24">
        <v>17500</v>
      </c>
      <c r="I9" s="24">
        <v>20000</v>
      </c>
    </row>
    <row r="10" spans="1:9" ht="15" x14ac:dyDescent="0.25">
      <c r="C10" s="23">
        <v>30</v>
      </c>
      <c r="D10" s="24">
        <v>9000</v>
      </c>
      <c r="E10" s="24">
        <v>12000</v>
      </c>
      <c r="F10" s="24">
        <v>15000</v>
      </c>
      <c r="G10" s="24">
        <v>18000</v>
      </c>
      <c r="H10" s="24">
        <v>21000</v>
      </c>
      <c r="I10" s="24">
        <v>24000</v>
      </c>
    </row>
    <row r="12" spans="1:9" ht="15" x14ac:dyDescent="0.25">
      <c r="A12" s="25"/>
    </row>
    <row r="13" spans="1:9" ht="14.25" x14ac:dyDescent="0.2">
      <c r="A13" s="26"/>
    </row>
    <row r="14" spans="1:9" ht="14.25" x14ac:dyDescent="0.2">
      <c r="A14" s="26"/>
    </row>
    <row r="15" spans="1:9" ht="14.25" x14ac:dyDescent="0.2">
      <c r="A15" s="26"/>
    </row>
    <row r="16" spans="1:9" ht="14.25" x14ac:dyDescent="0.2">
      <c r="A16" s="26"/>
    </row>
    <row r="17" spans="1:1" ht="14.25" x14ac:dyDescent="0.2">
      <c r="A17" s="26"/>
    </row>
  </sheetData>
  <mergeCells count="1">
    <mergeCell ref="D3:I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原始数据表</vt:lpstr>
      <vt:lpstr>动态数据统计图表</vt:lpstr>
      <vt:lpstr>数据透视表</vt:lpstr>
      <vt:lpstr>模拟运算表</vt:lpstr>
      <vt:lpstr>saledata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许宁</dc:creator>
  <cp:lastModifiedBy>宁 许</cp:lastModifiedBy>
  <dcterms:created xsi:type="dcterms:W3CDTF">2023-05-12T11:15:00Z</dcterms:created>
  <dcterms:modified xsi:type="dcterms:W3CDTF">2026-07-14T12:57:37Z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