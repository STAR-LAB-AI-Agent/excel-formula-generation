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50" yWindow="1950" windowWidth="28800" windowHeight="15345" tabRatio="600" firstSheet="0" activeTab="0" autoFilterDateGrouping="1"/>
  </bookViews>
  <sheets>
    <sheet name="季度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3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pane ySplit="4" topLeftCell="A5" activePane="bottomLeft" state="frozen"/>
      <selection pane="bottomLeft" activeCell="G7" sqref="G7"/>
    </sheetView>
  </sheetViews>
  <sheetFormatPr baseColWidth="8" defaultRowHeight="13.5"/>
  <cols>
    <col width="11" customWidth="1" style="2" min="1" max="1"/>
    <col width="8" customWidth="1" style="2" min="2" max="5"/>
    <col width="11" customWidth="1" style="2" min="6" max="6"/>
    <col width="9" customWidth="1" style="2" min="7" max="7"/>
  </cols>
  <sheetData>
    <row r="1" ht="15" customHeight="1" s="2">
      <c r="A1" s="3" t="inlineStr">
        <is>
          <t>红星事业部 2026 年第三季度经营数据</t>
        </is>
      </c>
    </row>
    <row r="2">
      <c r="A2" t="inlineStr">
        <is>
          <t>说明：金额单位为万元；「暂无」表示尚未发生</t>
        </is>
      </c>
    </row>
    <row r="4">
      <c r="A4" s="1" t="inlineStr">
        <is>
          <t>项目</t>
        </is>
      </c>
      <c r="B4" s="1" t="inlineStr">
        <is>
          <t>7月</t>
        </is>
      </c>
      <c r="C4" s="1" t="inlineStr">
        <is>
          <t>8月</t>
        </is>
      </c>
      <c r="D4" s="1" t="inlineStr">
        <is>
          <t>9月</t>
        </is>
      </c>
      <c r="E4" s="1" t="inlineStr">
        <is>
          <t>备注</t>
        </is>
      </c>
      <c r="F4" s="1" t="inlineStr">
        <is>
          <t>指标</t>
        </is>
      </c>
      <c r="G4" s="1" t="inlineStr">
        <is>
          <t>数值</t>
        </is>
      </c>
    </row>
    <row r="5">
      <c r="A5" t="inlineStr">
        <is>
          <t>销售收入</t>
        </is>
      </c>
      <c r="B5" t="n">
        <v>128.5</v>
      </c>
      <c r="C5" t="n">
        <v>142</v>
      </c>
      <c r="D5" t="n">
        <v>156.8</v>
      </c>
      <c r="E5" t="inlineStr">
        <is>
          <t>含税</t>
        </is>
      </c>
      <c r="F5" t="inlineStr">
        <is>
          <t>收入合计</t>
        </is>
      </c>
      <c r="G5">
        <f>SUM(B5:D5)</f>
        <v/>
      </c>
    </row>
    <row r="6">
      <c r="A6" t="inlineStr">
        <is>
          <t>采购成本</t>
        </is>
      </c>
      <c r="B6" t="n">
        <v>76.2</v>
      </c>
      <c r="C6" t="n">
        <v>80.5</v>
      </c>
      <c r="D6" t="n">
        <v>88.09999999999999</v>
      </c>
      <c r="F6" t="inlineStr">
        <is>
          <t>成本合计</t>
        </is>
      </c>
      <c r="G6">
        <f>SUM(B6:D6)+SUM(B7:D7)</f>
        <v/>
      </c>
    </row>
    <row r="7">
      <c r="A7" t="inlineStr">
        <is>
          <t>人工成本</t>
        </is>
      </c>
      <c r="B7" t="n">
        <v>32</v>
      </c>
      <c r="C7" t="n">
        <v>32</v>
      </c>
      <c r="D7" t="n">
        <v>33.5</v>
      </c>
      <c r="F7" t="inlineStr">
        <is>
          <t>毛利率</t>
        </is>
      </c>
      <c r="G7">
        <f>(G5-G6)/G5</f>
        <v/>
      </c>
    </row>
    <row r="8">
      <c r="A8" t="inlineStr">
        <is>
          <t>差旅费</t>
        </is>
      </c>
      <c r="B8" t="n">
        <v>5.6</v>
      </c>
      <c r="C8" t="inlineStr">
        <is>
          <t>暂无</t>
        </is>
      </c>
      <c r="D8" t="n">
        <v>4.8</v>
      </c>
    </row>
    <row r="9">
      <c r="A9" t="inlineStr">
        <is>
          <t>办公费</t>
        </is>
      </c>
      <c r="B9" t="n">
        <v>3.2</v>
      </c>
      <c r="C9" t="n">
        <v>3.5</v>
      </c>
      <c r="D9" t="n">
        <v>3.1</v>
      </c>
    </row>
    <row r="10">
      <c r="A10" t="inlineStr">
        <is>
          <t>市场推广</t>
        </is>
      </c>
      <c r="B10" t="n">
        <v>12.8</v>
      </c>
      <c r="D10" t="n">
        <v>15.2</v>
      </c>
    </row>
    <row r="11">
      <c r="A11" t="inlineStr">
        <is>
          <t>设备折旧</t>
        </is>
      </c>
      <c r="B11" t="n">
        <v>6</v>
      </c>
      <c r="C11" t="n">
        <v>6</v>
      </c>
      <c r="D11" t="n">
        <v>6</v>
      </c>
    </row>
    <row r="12">
      <c r="A12" t="inlineStr">
        <is>
          <t>其他支出</t>
        </is>
      </c>
      <c r="B12" t="n">
        <v>2.4</v>
      </c>
      <c r="C12" t="n">
        <v>1.8</v>
      </c>
      <c r="D12" t="n">
        <v>2.2</v>
      </c>
    </row>
    <row r="14">
      <c r="A14" t="inlineStr">
        <is>
          <t>合计</t>
        </is>
      </c>
      <c r="B14">
        <f>SUM(B5:B12)</f>
        <v/>
      </c>
      <c r="C14">
        <f>SUM(C5:C12)</f>
        <v/>
      </c>
      <c r="D14">
        <f>SUM(D5:D12)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2026-09-16T23:02:27Z</dcterms:created>
  <dcterms:modified xsi:type="dcterms:W3CDTF">2026-09-17T01:15:01Z</dcterms:modified>
  <cp:lastModifiedBy>宁 许</cp:lastModifiedBy>
</cp:coreProperties>
</file>