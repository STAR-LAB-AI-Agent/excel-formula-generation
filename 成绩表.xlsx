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2745" windowWidth="28800" windowHeight="15345" tabRatio="600" firstSheet="0" activeTab="1" autoFilterDateGrouping="1"/>
  </bookViews>
  <sheets>
    <sheet name="成绩单" sheetId="1" state="visible" r:id="rId1"/>
    <sheet name="班级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I2" sqref="I2"/>
    </sheetView>
  </sheetViews>
  <sheetFormatPr baseColWidth="8" defaultRowHeight="13.5"/>
  <cols>
    <col width="8" customWidth="1" min="1" max="1"/>
    <col width="10" customWidth="1" min="2" max="2"/>
    <col width="11" customWidth="1" min="3" max="3"/>
    <col width="18" customWidth="1" min="4" max="6"/>
    <col width="8" customWidth="1" min="7" max="7"/>
    <col width="11" customWidth="1" min="8" max="8"/>
    <col width="10" customWidth="1" min="9" max="9"/>
  </cols>
  <sheetData>
    <row r="1">
      <c r="A1" s="1" t="inlineStr">
        <is>
          <t>学号</t>
        </is>
      </c>
      <c r="B1" s="1" t="inlineStr">
        <is>
          <t>姓名</t>
        </is>
      </c>
      <c r="C1" s="1" t="inlineStr">
        <is>
          <t>班级</t>
        </is>
      </c>
      <c r="D1" s="1" t="inlineStr">
        <is>
          <t>语文</t>
        </is>
      </c>
      <c r="E1" s="1" t="inlineStr">
        <is>
          <t>数学</t>
        </is>
      </c>
      <c r="F1" s="1" t="inlineStr">
        <is>
          <t>英语</t>
        </is>
      </c>
      <c r="G1" s="1" t="inlineStr">
        <is>
          <t>总分</t>
        </is>
      </c>
      <c r="H1" s="1" t="inlineStr">
        <is>
          <t>平均分</t>
        </is>
      </c>
      <c r="I1" s="1" t="inlineStr">
        <is>
          <t>评级</t>
        </is>
      </c>
    </row>
    <row r="2">
      <c r="A2" t="inlineStr">
        <is>
          <t>S01</t>
        </is>
      </c>
      <c r="B2" t="inlineStr">
        <is>
          <t>张伟</t>
        </is>
      </c>
      <c r="C2" t="inlineStr">
        <is>
          <t>高一1班</t>
        </is>
      </c>
      <c r="D2" t="n">
        <v>88</v>
      </c>
      <c r="E2" t="n">
        <v>92</v>
      </c>
      <c r="F2" t="n">
        <v>85</v>
      </c>
      <c r="G2">
        <f>SUM(D2:F2)</f>
        <v/>
      </c>
      <c r="H2">
        <f>AVERAGE(D2:F2)</f>
        <v/>
      </c>
      <c r="I2">
        <f>IF(H2&gt;=90,"优秀",IF(H2&gt;=75,"良好",IF(H2&gt;=60,"及格","不及格")))</f>
        <v/>
      </c>
    </row>
    <row r="3">
      <c r="A3" t="inlineStr">
        <is>
          <t>S02</t>
        </is>
      </c>
      <c r="B3" t="inlineStr">
        <is>
          <t>王芳</t>
        </is>
      </c>
      <c r="C3" t="inlineStr">
        <is>
          <t>高一1班</t>
        </is>
      </c>
      <c r="D3" t="n">
        <v>76</v>
      </c>
      <c r="E3" t="n">
        <v>68</v>
      </c>
      <c r="F3" t="n">
        <v>90</v>
      </c>
      <c r="G3">
        <f>SUM(D3:F3)</f>
        <v/>
      </c>
      <c r="H3">
        <f>AVERAGE(D3:F3)</f>
        <v/>
      </c>
      <c r="I3">
        <f>IF(H3&gt;=90,"优秀",IF(H3&gt;=75,"良好",IF(H3&gt;=60,"及格","不及格")))</f>
        <v/>
      </c>
    </row>
    <row r="4">
      <c r="A4" t="inlineStr">
        <is>
          <t>S03</t>
        </is>
      </c>
      <c r="B4" t="inlineStr">
        <is>
          <t>李娜</t>
        </is>
      </c>
      <c r="C4" t="inlineStr">
        <is>
          <t>高一1班</t>
        </is>
      </c>
      <c r="D4" t="n">
        <v>59</v>
      </c>
      <c r="E4" t="n">
        <v>88</v>
      </c>
      <c r="F4" t="n">
        <v>92</v>
      </c>
      <c r="G4">
        <f>SUM(D4:F4)</f>
        <v/>
      </c>
      <c r="H4">
        <f>AVERAGE(D4:F4)</f>
        <v/>
      </c>
      <c r="I4">
        <f>IF(H4&gt;=90,"优秀",IF(H4&gt;=75,"良好",IF(H4&gt;=60,"及格","不及格")))</f>
        <v/>
      </c>
    </row>
    <row r="5">
      <c r="A5" t="inlineStr">
        <is>
          <t>S04</t>
        </is>
      </c>
      <c r="B5" t="inlineStr">
        <is>
          <t>刘强</t>
        </is>
      </c>
      <c r="C5" t="inlineStr">
        <is>
          <t>高一1班</t>
        </is>
      </c>
      <c r="D5" t="n">
        <v>52</v>
      </c>
      <c r="E5" t="n">
        <v>61</v>
      </c>
      <c r="F5" t="n">
        <v>47</v>
      </c>
      <c r="G5">
        <f>SUM(D5:F5)</f>
        <v/>
      </c>
      <c r="H5">
        <f>AVERAGE(D5:F5)</f>
        <v/>
      </c>
      <c r="I5">
        <f>IF(H5&gt;=90,"优秀",IF(H5&gt;=75,"良好",IF(H5&gt;=60,"及格","不及格")))</f>
        <v/>
      </c>
    </row>
    <row r="6">
      <c r="A6" t="inlineStr">
        <is>
          <t>S05</t>
        </is>
      </c>
      <c r="B6" t="inlineStr">
        <is>
          <t>陈晨</t>
        </is>
      </c>
      <c r="C6" t="inlineStr">
        <is>
          <t>高一2班</t>
        </is>
      </c>
      <c r="D6" t="n">
        <v>79</v>
      </c>
      <c r="E6" t="n">
        <v>83</v>
      </c>
      <c r="F6" t="n">
        <v>74</v>
      </c>
      <c r="G6">
        <f>SUM(D6:F6)</f>
        <v/>
      </c>
      <c r="H6">
        <f>AVERAGE(D6:F6)</f>
        <v/>
      </c>
      <c r="I6">
        <f>IF(H6&gt;=90,"优秀",IF(H6&gt;=75,"良好",IF(H6&gt;=60,"及格","不及格")))</f>
        <v/>
      </c>
    </row>
    <row r="7">
      <c r="A7" t="inlineStr">
        <is>
          <t>S06</t>
        </is>
      </c>
      <c r="B7" t="inlineStr">
        <is>
          <t>杨帆</t>
        </is>
      </c>
      <c r="C7" t="inlineStr">
        <is>
          <t>高一2班</t>
        </is>
      </c>
      <c r="D7" t="n">
        <v>91</v>
      </c>
      <c r="E7" t="n">
        <v>78</v>
      </c>
      <c r="F7" t="n">
        <v>84</v>
      </c>
      <c r="G7">
        <f>SUM(D7:F7)</f>
        <v/>
      </c>
      <c r="H7">
        <f>AVERAGE(D7:F7)</f>
        <v/>
      </c>
      <c r="I7">
        <f>IF(H7&gt;=90,"优秀",IF(H7&gt;=75,"良好",IF(H7&gt;=60,"及格","不及格")))</f>
        <v/>
      </c>
    </row>
    <row r="8">
      <c r="A8" t="inlineStr">
        <is>
          <t>S07</t>
        </is>
      </c>
      <c r="B8" t="inlineStr">
        <is>
          <t>赵敏</t>
        </is>
      </c>
      <c r="C8" t="inlineStr">
        <is>
          <t>高一2班</t>
        </is>
      </c>
      <c r="D8" t="n">
        <v>68</v>
      </c>
      <c r="E8" t="n">
        <v>72</v>
      </c>
      <c r="F8" t="n">
        <v>77</v>
      </c>
      <c r="G8">
        <f>SUM(D8:F8)</f>
        <v/>
      </c>
      <c r="H8">
        <f>AVERAGE(D8:F8)</f>
        <v/>
      </c>
      <c r="I8">
        <f>IF(H8&gt;=90,"优秀",IF(H8&gt;=75,"良好",IF(H8&gt;=60,"及格","不及格")))</f>
        <v/>
      </c>
    </row>
    <row r="9">
      <c r="A9" t="inlineStr">
        <is>
          <t>S08</t>
        </is>
      </c>
      <c r="B9" t="inlineStr">
        <is>
          <t>周涛</t>
        </is>
      </c>
      <c r="C9" t="inlineStr">
        <is>
          <t>高一2班</t>
        </is>
      </c>
      <c r="D9" t="n">
        <v>85</v>
      </c>
      <c r="E9" t="n">
        <v>93</v>
      </c>
      <c r="F9" t="n">
        <v>81</v>
      </c>
      <c r="G9">
        <f>SUM(D9:F9)</f>
        <v/>
      </c>
      <c r="H9">
        <f>AVERAGE(D9:F9)</f>
        <v/>
      </c>
      <c r="I9">
        <f>IF(H9&gt;=90,"优秀",IF(H9&gt;=75,"良好",IF(H9&gt;=60,"及格","不及格")))</f>
        <v/>
      </c>
    </row>
    <row r="10">
      <c r="A10" t="inlineStr">
        <is>
          <t>S09</t>
        </is>
      </c>
      <c r="B10" t="inlineStr">
        <is>
          <t>吴悠</t>
        </is>
      </c>
      <c r="C10" t="inlineStr">
        <is>
          <t>高一3班</t>
        </is>
      </c>
      <c r="D10" t="n">
        <v>73</v>
      </c>
      <c r="E10" t="n">
        <v>66</v>
      </c>
      <c r="F10" t="n">
        <v>69</v>
      </c>
      <c r="G10">
        <f>SUM(D10:F10)</f>
        <v/>
      </c>
      <c r="H10">
        <f>AVERAGE(D10:F10)</f>
        <v/>
      </c>
      <c r="I10">
        <f>IF(H10&gt;=90,"优秀",IF(H10&gt;=75,"良好",IF(H10&gt;=60,"及格","不及格")))</f>
        <v/>
      </c>
    </row>
    <row r="11">
      <c r="A11" t="inlineStr">
        <is>
          <t>S10</t>
        </is>
      </c>
      <c r="B11" t="inlineStr">
        <is>
          <t>郑浩</t>
        </is>
      </c>
      <c r="C11" t="inlineStr">
        <is>
          <t>高一3班</t>
        </is>
      </c>
      <c r="D11" t="n">
        <v>90</v>
      </c>
      <c r="E11" t="n">
        <v>87</v>
      </c>
      <c r="F11" t="n">
        <v>89</v>
      </c>
      <c r="G11">
        <f>SUM(D11:F11)</f>
        <v/>
      </c>
      <c r="H11">
        <f>AVERAGE(D11:F11)</f>
        <v/>
      </c>
      <c r="I11">
        <f>IF(H11&gt;=90,"优秀",IF(H11&gt;=75,"良好",IF(H11&gt;=60,"及格","不及格")))</f>
        <v/>
      </c>
    </row>
    <row r="12">
      <c r="A12" t="inlineStr">
        <is>
          <t>S11</t>
        </is>
      </c>
      <c r="B12" t="inlineStr">
        <is>
          <t>孙悦</t>
        </is>
      </c>
      <c r="C12" t="inlineStr">
        <is>
          <t>高一3班</t>
        </is>
      </c>
      <c r="D12" t="n">
        <v>64</v>
      </c>
      <c r="E12" t="n">
        <v>59</v>
      </c>
      <c r="F12" t="n">
        <v>72</v>
      </c>
      <c r="G12">
        <f>SUM(D12:F12)</f>
        <v/>
      </c>
      <c r="H12">
        <f>AVERAGE(D12:F12)</f>
        <v/>
      </c>
      <c r="I12">
        <f>IF(H12&gt;=90,"优秀",IF(H12&gt;=75,"良好",IF(H12&gt;=60,"及格","不及格")))</f>
        <v/>
      </c>
    </row>
    <row r="13">
      <c r="A13" t="inlineStr">
        <is>
          <t>S12</t>
        </is>
      </c>
      <c r="B13" t="inlineStr">
        <is>
          <t>何雪</t>
        </is>
      </c>
      <c r="C13" t="inlineStr">
        <is>
          <t>高一3班</t>
        </is>
      </c>
      <c r="D13" t="n">
        <v>82</v>
      </c>
      <c r="E13" t="n">
        <v>90</v>
      </c>
      <c r="F13" t="n">
        <v>76</v>
      </c>
      <c r="G13">
        <f>SUM(D13:F13)</f>
        <v/>
      </c>
      <c r="H13">
        <f>AVERAGE(D13:F13)</f>
        <v/>
      </c>
      <c r="I13">
        <f>IF(H13&gt;=90,"优秀",IF(H13&gt;=75,"良好",IF(H13&gt;=60,"及格","不及格")))</f>
        <v/>
      </c>
    </row>
    <row r="15">
      <c r="A15" s="2" t="inlineStr">
        <is>
          <t>统计区</t>
        </is>
      </c>
    </row>
    <row r="16">
      <c r="A16" t="inlineStr">
        <is>
          <t>数学85分及以上人数</t>
        </is>
      </c>
      <c r="B16">
        <f>COUNTIF(E2:E13,"&gt;=85")</f>
        <v/>
      </c>
    </row>
    <row r="17">
      <c r="A17" t="inlineStr">
        <is>
          <t>高一1班语文平均分</t>
        </is>
      </c>
      <c r="B17">
        <f>AVERAGEIF(C2:C13,"高一1班",D2:D13)</f>
        <v/>
      </c>
    </row>
    <row r="18">
      <c r="A18" t="inlineStr">
        <is>
          <t>英语最高分</t>
        </is>
      </c>
      <c r="B18">
        <f>MAX(F2:F13)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tabSelected="1" workbookViewId="0">
      <pane ySplit="1" topLeftCell="A2" activePane="bottomLeft" state="frozen"/>
      <selection pane="bottomLeft" activeCell="D1" sqref="D1"/>
    </sheetView>
  </sheetViews>
  <sheetFormatPr baseColWidth="8" defaultRowHeight="13.5"/>
  <cols>
    <col width="11" customWidth="1" min="1" max="1"/>
    <col width="10" customWidth="1" min="2" max="2"/>
    <col width="8" customWidth="1" min="3" max="3"/>
    <col width="20.75" customWidth="1" min="4" max="4"/>
  </cols>
  <sheetData>
    <row r="1">
      <c r="A1" s="1" t="inlineStr">
        <is>
          <t>班级</t>
        </is>
      </c>
      <c r="B1" s="1" t="inlineStr">
        <is>
          <t>班主任</t>
        </is>
      </c>
      <c r="C1" s="1" t="inlineStr">
        <is>
          <t>教室</t>
        </is>
      </c>
      <c r="D1" s="1" t="inlineStr">
        <is>
          <t>班级学生平均总成绩</t>
        </is>
      </c>
      <c r="E1" s="1" t="inlineStr">
        <is>
          <t>语文平均分</t>
        </is>
      </c>
      <c r="F1" s="1" t="inlineStr">
        <is>
          <t>数学平均分</t>
        </is>
      </c>
      <c r="G1" s="1" t="inlineStr">
        <is>
          <t>英语平均分</t>
        </is>
      </c>
    </row>
    <row r="2">
      <c r="A2" t="inlineStr">
        <is>
          <t>高一1班</t>
        </is>
      </c>
      <c r="B2" t="inlineStr">
        <is>
          <t>李红</t>
        </is>
      </c>
      <c r="C2" t="n">
        <v>301</v>
      </c>
      <c r="D2">
        <f>AVERAGEIF(成绩单!$C$2:$C$13,A2,成绩单!$G$2:$G$13)</f>
        <v/>
      </c>
      <c r="E2">
        <f>AVERAGEIF(成绩单!$C$2:$C$13,$A2,成绩单!D$2:D$13)</f>
        <v/>
      </c>
      <c r="F2">
        <f>AVERAGEIF(成绩单!$C$2:$C$13,$A2,成绩单!E$2:E$13)</f>
        <v/>
      </c>
      <c r="G2">
        <f>AVERAGEIF(成绩单!$C$2:$C$13,$A2,成绩单!F$2:F$13)</f>
        <v/>
      </c>
    </row>
    <row r="3">
      <c r="A3" t="inlineStr">
        <is>
          <t>高一2班</t>
        </is>
      </c>
      <c r="B3" t="inlineStr">
        <is>
          <t>王强</t>
        </is>
      </c>
      <c r="C3" t="n">
        <v>302</v>
      </c>
      <c r="D3">
        <f>AVERAGEIF(成绩单!$C$2:$C$13,A3,成绩单!$G$2:$G$13)</f>
        <v/>
      </c>
      <c r="E3">
        <f>AVERAGEIF(成绩单!$C$2:$C$13,$A3,成绩单!D$2:D$13)</f>
        <v/>
      </c>
      <c r="F3">
        <f>AVERAGEIF(成绩单!$C$2:$C$13,$A3,成绩单!E$2:E$13)</f>
        <v/>
      </c>
      <c r="G3">
        <f>AVERAGEIF(成绩单!$C$2:$C$13,$A3,成绩单!F$2:F$13)</f>
        <v/>
      </c>
    </row>
    <row r="4">
      <c r="A4" t="inlineStr">
        <is>
          <t>高一3班</t>
        </is>
      </c>
      <c r="B4" t="inlineStr">
        <is>
          <t>孙丽</t>
        </is>
      </c>
      <c r="C4" t="n">
        <v>303</v>
      </c>
      <c r="D4">
        <f>AVERAGEIF(成绩单!$C$2:$C$13,A4,成绩单!$G$2:$G$13)</f>
        <v/>
      </c>
      <c r="E4">
        <f>AVERAGEIF(成绩单!$C$2:$C$13,$A4,成绩单!D$2:D$13)</f>
        <v/>
      </c>
      <c r="F4">
        <f>AVERAGEIF(成绩单!$C$2:$C$13,$A4,成绩单!E$2:E$13)</f>
        <v/>
      </c>
      <c r="G4">
        <f>AVERAGEIF(成绩单!$C$2:$C$13,$A4,成绩单!F$2:F$13)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2026-09-16T23:02:27Z</dcterms:created>
  <dcterms:modified xsi:type="dcterms:W3CDTF">2026-09-18T02:50:34Z</dcterms:modified>
  <cp:lastModifiedBy>宁 许</cp:lastModifiedBy>
</cp:coreProperties>
</file>