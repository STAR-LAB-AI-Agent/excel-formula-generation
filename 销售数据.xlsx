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8800" windowHeight="15345" tabRatio="600" firstSheet="0" activeTab="0" autoFilterDateGrouping="1"/>
  </bookViews>
  <sheets>
    <sheet name="原始数据" sheetId="1" state="visible" r:id="rId1"/>
    <sheet name="统计报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sz val="13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pane ySplit="1" topLeftCell="A2" activePane="bottomLeft" state="frozen"/>
      <selection pane="bottomLeft" activeCell="A24" sqref="A24"/>
    </sheetView>
  </sheetViews>
  <sheetFormatPr baseColWidth="8" defaultRowHeight="13.5"/>
  <cols>
    <col width="10" customWidth="1" style="7" min="1" max="1"/>
    <col width="12" customWidth="1" style="7" min="2" max="2"/>
    <col width="18" customWidth="1" style="7" min="3" max="3"/>
    <col width="12" customWidth="1" style="7" min="4" max="4"/>
    <col width="8" customWidth="1" style="7" min="5" max="7"/>
    <col width="10" customWidth="1" style="7" min="8" max="8"/>
  </cols>
  <sheetData>
    <row r="1">
      <c r="A1" s="1" t="inlineStr">
        <is>
          <t>订单编号</t>
        </is>
      </c>
      <c r="B1" s="1" t="inlineStr">
        <is>
          <t>下单日期</t>
        </is>
      </c>
      <c r="C1" s="1" t="inlineStr">
        <is>
          <t>客户名称</t>
        </is>
      </c>
      <c r="D1" s="1" t="inlineStr">
        <is>
          <t>产品</t>
        </is>
      </c>
      <c r="E1" s="1" t="inlineStr">
        <is>
          <t>区域</t>
        </is>
      </c>
      <c r="F1" s="1" t="inlineStr">
        <is>
          <t>单价</t>
        </is>
      </c>
      <c r="G1" s="1" t="inlineStr">
        <is>
          <t>数量</t>
        </is>
      </c>
      <c r="H1" s="1" t="inlineStr">
        <is>
          <t>金额</t>
        </is>
      </c>
    </row>
    <row r="2">
      <c r="A2" t="inlineStr">
        <is>
          <t>SO-2601</t>
        </is>
      </c>
      <c r="B2" s="8" t="n">
        <v>46204</v>
      </c>
      <c r="C2" t="inlineStr">
        <is>
          <t>杭州晨光商贸</t>
        </is>
      </c>
      <c r="D2" t="inlineStr">
        <is>
          <t>智能音箱</t>
        </is>
      </c>
      <c r="E2" t="inlineStr">
        <is>
          <t>华东</t>
        </is>
      </c>
      <c r="F2" s="3" t="n">
        <v>399</v>
      </c>
      <c r="G2" t="n">
        <v>12</v>
      </c>
      <c r="H2">
        <f>F2*G2</f>
        <v/>
      </c>
    </row>
    <row r="3">
      <c r="A3" t="inlineStr">
        <is>
          <t>SO-2602</t>
        </is>
      </c>
      <c r="B3" s="8" t="n">
        <v>46205</v>
      </c>
      <c r="C3" t="inlineStr">
        <is>
          <t>广州南粤电子</t>
        </is>
      </c>
      <c r="D3" t="inlineStr">
        <is>
          <t>无线键盘</t>
        </is>
      </c>
      <c r="E3" t="inlineStr">
        <is>
          <t>华南</t>
        </is>
      </c>
      <c r="F3" s="3" t="n">
        <v>129</v>
      </c>
      <c r="G3" t="n">
        <v>30</v>
      </c>
      <c r="H3">
        <f>F3*G3</f>
        <v/>
      </c>
    </row>
    <row r="4">
      <c r="A4" t="inlineStr">
        <is>
          <t>SO-2603</t>
        </is>
      </c>
      <c r="B4" s="8" t="n">
        <v>46206</v>
      </c>
      <c r="C4" t="inlineStr">
        <is>
          <t>北京京华数码</t>
        </is>
      </c>
      <c r="D4" t="inlineStr">
        <is>
          <t>显示器27寸</t>
        </is>
      </c>
      <c r="E4" t="inlineStr">
        <is>
          <t>华北</t>
        </is>
      </c>
      <c r="F4" s="3" t="n">
        <v>1099</v>
      </c>
      <c r="G4" t="n">
        <v>8</v>
      </c>
      <c r="H4">
        <f>F4*G4</f>
        <v/>
      </c>
    </row>
    <row r="5">
      <c r="A5" t="inlineStr">
        <is>
          <t>SO-2604</t>
        </is>
      </c>
      <c r="B5" s="8" t="n">
        <v>46208</v>
      </c>
      <c r="C5" t="inlineStr">
        <is>
          <t>成都蜀通科技</t>
        </is>
      </c>
      <c r="D5" t="inlineStr">
        <is>
          <t>移动电源</t>
        </is>
      </c>
      <c r="E5" t="inlineStr">
        <is>
          <t>西南</t>
        </is>
      </c>
      <c r="F5" s="3" t="n">
        <v>89</v>
      </c>
      <c r="G5" t="n">
        <v>50</v>
      </c>
      <c r="H5">
        <f>F5*G5</f>
        <v/>
      </c>
    </row>
    <row r="6">
      <c r="A6" t="inlineStr">
        <is>
          <t>SO-2605</t>
        </is>
      </c>
      <c r="B6" s="8" t="n">
        <v>46210</v>
      </c>
      <c r="C6" t="inlineStr">
        <is>
          <t>西安古都智联</t>
        </is>
      </c>
      <c r="D6" t="inlineStr">
        <is>
          <t>智能音箱</t>
        </is>
      </c>
      <c r="E6" t="inlineStr">
        <is>
          <t>西北</t>
        </is>
      </c>
      <c r="F6" s="3" t="n">
        <v>399</v>
      </c>
      <c r="G6" t="n">
        <v>15</v>
      </c>
      <c r="H6">
        <f>F6*G6</f>
        <v/>
      </c>
    </row>
    <row r="7">
      <c r="A7" t="inlineStr">
        <is>
          <t>SO-2606</t>
        </is>
      </c>
      <c r="B7" s="8" t="n">
        <v>46212</v>
      </c>
      <c r="C7" t="inlineStr">
        <is>
          <t>上海浦江办公</t>
        </is>
      </c>
      <c r="D7" t="inlineStr">
        <is>
          <t>无线鼠标</t>
        </is>
      </c>
      <c r="E7" t="inlineStr">
        <is>
          <t>华东</t>
        </is>
      </c>
      <c r="F7" s="3" t="n">
        <v>59</v>
      </c>
      <c r="G7" t="n">
        <v>80</v>
      </c>
      <c r="H7">
        <f>F7*G7</f>
        <v/>
      </c>
    </row>
    <row r="8">
      <c r="A8" t="inlineStr">
        <is>
          <t>SO-2607</t>
        </is>
      </c>
      <c r="B8" s="8" t="n">
        <v>46214</v>
      </c>
      <c r="C8" t="inlineStr">
        <is>
          <t>深圳鹏城数码</t>
        </is>
      </c>
      <c r="D8" t="inlineStr">
        <is>
          <t>显示器27寸</t>
        </is>
      </c>
      <c r="E8" t="inlineStr">
        <is>
          <t>华南</t>
        </is>
      </c>
      <c r="F8" s="3" t="n">
        <v>1099</v>
      </c>
      <c r="G8" t="n">
        <v>10</v>
      </c>
      <c r="H8">
        <f>F8*G8</f>
        <v/>
      </c>
    </row>
    <row r="9">
      <c r="A9" t="inlineStr">
        <is>
          <t>SO-2608</t>
        </is>
      </c>
      <c r="B9" s="8" t="n">
        <v>46215</v>
      </c>
      <c r="C9" t="inlineStr">
        <is>
          <t>天津海河商贸</t>
        </is>
      </c>
      <c r="D9" t="inlineStr">
        <is>
          <t>移动电源</t>
        </is>
      </c>
      <c r="E9" t="inlineStr">
        <is>
          <t>华北</t>
        </is>
      </c>
      <c r="F9" s="3" t="n">
        <v>89</v>
      </c>
      <c r="G9" t="n">
        <v>60</v>
      </c>
      <c r="H9">
        <f>F9*G9</f>
        <v/>
      </c>
    </row>
    <row r="10">
      <c r="A10" t="inlineStr">
        <is>
          <t>SO-2609</t>
        </is>
      </c>
      <c r="B10" s="8" t="n">
        <v>46218</v>
      </c>
      <c r="C10" t="inlineStr">
        <is>
          <t>重庆山城电子</t>
        </is>
      </c>
      <c r="D10" t="inlineStr">
        <is>
          <t>无线键盘</t>
        </is>
      </c>
      <c r="E10" t="inlineStr">
        <is>
          <t>西南</t>
        </is>
      </c>
      <c r="F10" s="3" t="n">
        <v>129</v>
      </c>
      <c r="G10" t="n">
        <v>25</v>
      </c>
      <c r="H10">
        <f>F10*G10</f>
        <v/>
      </c>
    </row>
    <row r="11">
      <c r="A11" t="inlineStr">
        <is>
          <t>SO-2610</t>
        </is>
      </c>
      <c r="B11" s="8" t="n">
        <v>46221</v>
      </c>
      <c r="C11" t="inlineStr">
        <is>
          <t>兰州丝路科技</t>
        </is>
      </c>
      <c r="D11" t="inlineStr">
        <is>
          <t>智能音箱</t>
        </is>
      </c>
      <c r="E11" t="inlineStr">
        <is>
          <t>西北</t>
        </is>
      </c>
      <c r="F11" s="3" t="n">
        <v>399</v>
      </c>
      <c r="G11" t="n">
        <v>18</v>
      </c>
      <c r="H11">
        <f>F11*G11</f>
        <v/>
      </c>
    </row>
    <row r="12">
      <c r="A12" t="inlineStr">
        <is>
          <t>SO-2611</t>
        </is>
      </c>
      <c r="B12" s="8" t="n">
        <v>46223</v>
      </c>
      <c r="C12" t="inlineStr">
        <is>
          <t>南京金陵办公</t>
        </is>
      </c>
      <c r="D12" t="inlineStr">
        <is>
          <t>显示器27寸</t>
        </is>
      </c>
      <c r="E12" t="inlineStr">
        <is>
          <t>华东</t>
        </is>
      </c>
      <c r="F12" s="3" t="n">
        <v>1099</v>
      </c>
      <c r="G12" t="n">
        <v>6</v>
      </c>
      <c r="H12">
        <f>F12*G12</f>
        <v/>
      </c>
    </row>
    <row r="13">
      <c r="A13" t="inlineStr">
        <is>
          <t>SO-2612</t>
        </is>
      </c>
      <c r="B13" s="8" t="n">
        <v>46226</v>
      </c>
      <c r="C13" t="inlineStr">
        <is>
          <t>厦门鹭岛商贸</t>
        </is>
      </c>
      <c r="D13" t="inlineStr">
        <is>
          <t>无线鼠标</t>
        </is>
      </c>
      <c r="E13" t="inlineStr">
        <is>
          <t>华南</t>
        </is>
      </c>
      <c r="F13" s="3" t="n">
        <v>59</v>
      </c>
      <c r="G13" t="n">
        <v>100</v>
      </c>
      <c r="H13">
        <f>F13*G13</f>
        <v/>
      </c>
    </row>
    <row r="14">
      <c r="A14" t="inlineStr">
        <is>
          <t>SO-2613</t>
        </is>
      </c>
      <c r="B14" s="8" t="n">
        <v>46228</v>
      </c>
      <c r="C14" t="inlineStr">
        <is>
          <t>石家庄燕赵数码</t>
        </is>
      </c>
      <c r="D14" t="inlineStr">
        <is>
          <t>无线键盘</t>
        </is>
      </c>
      <c r="E14" t="inlineStr">
        <is>
          <t>华北</t>
        </is>
      </c>
      <c r="F14" s="3" t="n">
        <v>129</v>
      </c>
      <c r="G14" t="n">
        <v>40</v>
      </c>
      <c r="H14">
        <f>F14*G14</f>
        <v/>
      </c>
    </row>
    <row r="15">
      <c r="A15" t="inlineStr">
        <is>
          <t>SO-2614</t>
        </is>
      </c>
      <c r="B15" s="8" t="n">
        <v>46231</v>
      </c>
      <c r="C15" t="inlineStr">
        <is>
          <t>昆明春城智联</t>
        </is>
      </c>
      <c r="D15" t="inlineStr">
        <is>
          <t>移动电源</t>
        </is>
      </c>
      <c r="E15" t="inlineStr">
        <is>
          <t>西南</t>
        </is>
      </c>
      <c r="F15" s="3" t="n">
        <v>89</v>
      </c>
      <c r="G15" t="n">
        <v>45</v>
      </c>
      <c r="H15">
        <f>F15*G15</f>
        <v/>
      </c>
    </row>
    <row r="16">
      <c r="A16" t="inlineStr">
        <is>
          <t>SO-2615</t>
        </is>
      </c>
      <c r="B16" s="8" t="n">
        <v>46236</v>
      </c>
      <c r="C16" t="inlineStr">
        <is>
          <t>乌鲁木齐天山科技</t>
        </is>
      </c>
      <c r="D16" t="inlineStr">
        <is>
          <t>显示器27寸</t>
        </is>
      </c>
      <c r="E16" t="inlineStr">
        <is>
          <t>西北</t>
        </is>
      </c>
      <c r="F16" s="3" t="n">
        <v>1099</v>
      </c>
      <c r="G16" t="n">
        <v>5</v>
      </c>
      <c r="H16">
        <f>F16*G16</f>
        <v/>
      </c>
    </row>
    <row r="17">
      <c r="A17" t="inlineStr">
        <is>
          <t>SO-2616</t>
        </is>
      </c>
      <c r="B17" s="8" t="n">
        <v>46239</v>
      </c>
      <c r="C17" t="inlineStr">
        <is>
          <t>苏州姑苏电子</t>
        </is>
      </c>
      <c r="D17" t="inlineStr">
        <is>
          <t>智能音箱</t>
        </is>
      </c>
      <c r="E17" t="inlineStr">
        <is>
          <t>华东</t>
        </is>
      </c>
      <c r="F17" s="3" t="n">
        <v>399</v>
      </c>
      <c r="G17" t="n">
        <v>20</v>
      </c>
      <c r="H17">
        <f>F17*G17</f>
        <v/>
      </c>
    </row>
    <row r="18">
      <c r="A18" t="inlineStr">
        <is>
          <t>SO-2617</t>
        </is>
      </c>
      <c r="B18" s="8" t="n">
        <v>46242</v>
      </c>
      <c r="C18" t="inlineStr">
        <is>
          <t>珠海香洲数码</t>
        </is>
      </c>
      <c r="D18" t="inlineStr">
        <is>
          <t>无线键盘</t>
        </is>
      </c>
      <c r="E18" t="inlineStr">
        <is>
          <t>华南</t>
        </is>
      </c>
      <c r="F18" s="3" t="n">
        <v>129</v>
      </c>
      <c r="G18" t="n">
        <v>35</v>
      </c>
      <c r="H18">
        <f>F18*G18</f>
        <v/>
      </c>
    </row>
    <row r="19">
      <c r="A19" t="inlineStr">
        <is>
          <t>SO-2618</t>
        </is>
      </c>
      <c r="B19" s="8" t="n">
        <v>46244</v>
      </c>
      <c r="C19" t="inlineStr">
        <is>
          <t>太原并州商贸</t>
        </is>
      </c>
      <c r="D19" t="inlineStr">
        <is>
          <t>移动电源</t>
        </is>
      </c>
      <c r="E19" t="inlineStr">
        <is>
          <t>华北</t>
        </is>
      </c>
      <c r="F19" s="3" t="n">
        <v>89</v>
      </c>
      <c r="G19" t="n">
        <v>70</v>
      </c>
      <c r="H19">
        <f>F19*G19</f>
        <v/>
      </c>
    </row>
    <row r="20">
      <c r="A20" t="inlineStr">
        <is>
          <t>SO-2619</t>
        </is>
      </c>
      <c r="B20" s="8" t="n">
        <v>46246</v>
      </c>
      <c r="C20" t="inlineStr">
        <is>
          <t>贵阳黔灵科技</t>
        </is>
      </c>
      <c r="D20" t="inlineStr">
        <is>
          <t>无线鼠标</t>
        </is>
      </c>
      <c r="E20" t="inlineStr">
        <is>
          <t>西南</t>
        </is>
      </c>
      <c r="F20" s="3" t="n">
        <v>59</v>
      </c>
      <c r="G20" t="n">
        <v>90</v>
      </c>
      <c r="H20">
        <f>F20*G20</f>
        <v/>
      </c>
    </row>
    <row r="21">
      <c r="A21" t="inlineStr">
        <is>
          <t>SO-2620</t>
        </is>
      </c>
      <c r="B21" s="8" t="n">
        <v>46249</v>
      </c>
      <c r="C21" t="inlineStr">
        <is>
          <t>银川塞上电子</t>
        </is>
      </c>
      <c r="D21" t="inlineStr">
        <is>
          <t>智能音箱</t>
        </is>
      </c>
      <c r="E21" t="inlineStr">
        <is>
          <t>西北</t>
        </is>
      </c>
      <c r="F21" s="3" t="n">
        <v>399</v>
      </c>
      <c r="G21" t="n">
        <v>22</v>
      </c>
      <c r="H21">
        <f>F21*G21</f>
        <v/>
      </c>
    </row>
    <row r="24">
      <c r="A24" t="inlineStr">
        <is>
          <t>区域</t>
        </is>
      </c>
      <c r="B24" t="inlineStr">
        <is>
          <t>总金额</t>
        </is>
      </c>
    </row>
    <row r="25">
      <c r="A25" t="inlineStr">
        <is>
          <t>华东</t>
        </is>
      </c>
      <c r="B25">
        <f>SUMIF($E$2:$E$21,A25,$H$2:$H$21)</f>
        <v/>
      </c>
    </row>
    <row r="26">
      <c r="A26" t="inlineStr">
        <is>
          <t>华南</t>
        </is>
      </c>
      <c r="B26">
        <f>SUMIF($E$2:$E$21,A26,$H$2:$H$21)</f>
        <v/>
      </c>
    </row>
    <row r="27">
      <c r="A27" t="inlineStr">
        <is>
          <t>华北</t>
        </is>
      </c>
      <c r="B27">
        <f>SUMIF($E$2:$E$21,A27,$H$2:$H$21)</f>
        <v/>
      </c>
    </row>
    <row r="28">
      <c r="A28" t="inlineStr">
        <is>
          <t>西南</t>
        </is>
      </c>
      <c r="B28">
        <f>SUMIF($E$2:$E$21,A28,$H$2:$H$21)</f>
        <v/>
      </c>
    </row>
    <row r="29">
      <c r="A29" t="inlineStr">
        <is>
          <t>西北</t>
        </is>
      </c>
      <c r="B29">
        <f>SUMIF($E$2:$E$21,A29,$H$2:$H$21)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:C1"/>
    </sheetView>
  </sheetViews>
  <sheetFormatPr baseColWidth="8" defaultRowHeight="13.5"/>
  <cols>
    <col width="14" customWidth="1" style="7" min="1" max="1"/>
    <col width="16" customWidth="1" style="7" min="2" max="2"/>
    <col width="10" customWidth="1" style="7" min="3" max="3"/>
  </cols>
  <sheetData>
    <row r="1" ht="15" customHeight="1" s="7">
      <c r="A1" s="6" t="inlineStr">
        <is>
          <t>销售统计报表</t>
        </is>
      </c>
    </row>
    <row r="3">
      <c r="A3" s="1" t="inlineStr">
        <is>
          <t>区域</t>
        </is>
      </c>
      <c r="B3" s="1" t="inlineStr">
        <is>
          <t>销售额</t>
        </is>
      </c>
      <c r="C3" s="1" t="inlineStr">
        <is>
          <t>订单数</t>
        </is>
      </c>
    </row>
    <row r="4">
      <c r="A4" t="inlineStr">
        <is>
          <t>华东</t>
        </is>
      </c>
    </row>
    <row r="5">
      <c r="A5" t="inlineStr">
        <is>
          <t>华南</t>
        </is>
      </c>
    </row>
    <row r="6">
      <c r="A6" t="inlineStr">
        <is>
          <t>华北</t>
        </is>
      </c>
    </row>
    <row r="7">
      <c r="A7" t="inlineStr">
        <is>
          <t>西南</t>
        </is>
      </c>
    </row>
    <row r="8">
      <c r="A8" t="inlineStr">
        <is>
          <t>西北</t>
        </is>
      </c>
    </row>
    <row r="10">
      <c r="A10" t="inlineStr">
        <is>
          <t>总销售额</t>
        </is>
      </c>
    </row>
    <row r="11">
      <c r="A11" t="inlineStr">
        <is>
          <t>平均订单金额</t>
        </is>
      </c>
    </row>
    <row r="12">
      <c r="A12" t="inlineStr">
        <is>
          <t>最大单笔金额</t>
        </is>
      </c>
    </row>
    <row r="14">
      <c r="A14" s="4" t="inlineStr">
        <is>
          <t>订单查询</t>
        </is>
      </c>
    </row>
    <row r="15">
      <c r="A15" t="inlineStr">
        <is>
          <t>订单编号</t>
        </is>
      </c>
      <c r="B15" t="inlineStr">
        <is>
          <t>SO-2607</t>
        </is>
      </c>
    </row>
    <row r="16">
      <c r="A16" t="inlineStr">
        <is>
          <t>客户名称</t>
        </is>
      </c>
    </row>
    <row r="17">
      <c r="A17" t="inlineStr">
        <is>
          <t>产品</t>
        </is>
      </c>
    </row>
    <row r="18">
      <c r="A18" t="inlineStr">
        <is>
          <t>金额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2026-09-16T23:02:27Z</dcterms:created>
  <dcterms:modified xsi:type="dcterms:W3CDTF">2026-09-17T02:21:02Z</dcterms:modified>
  <cp:lastModifiedBy>宁 许</cp:lastModifiedBy>
</cp:coreProperties>
</file>