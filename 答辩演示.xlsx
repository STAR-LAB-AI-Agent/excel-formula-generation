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76192\PycharmProjects\ExcelCR\"/>
    </mc:Choice>
  </mc:AlternateContent>
  <bookViews>
    <workbookView windowHeight="17655"/>
  </bookViews>
  <sheets>
    <sheet name="成绩单" sheetId="1" r:id="rId1"/>
    <sheet name="班级信息" sheetId="2" r:id="rId2"/>
    <sheet name="销售订单" sheetId="3" r:id="rId3"/>
    <sheet name="订单查询" sheetId="4" r:id="rId4"/>
    <sheet name="区域汇总" sheetId="5" r:id="rId5"/>
  </sheets>
  <definedNames>
    <definedName name="_ExcelCR_DV_3930887ff007">销售订单!$A$2:$A$25</definedName>
    <definedName name="_ExcelCR_DV_3930887ff007_1">销售订单!$A$2:$A$25</definedName>
    <definedName name="_ExcelCR_DV_3930887ff007_2">销售订单!$A$2:$A$25</definedName>
    <definedName name="_ExcelCR_DV_3930887ff007_3">销售订单!$A$2:$A$25</definedName>
    <definedName name="_ExcelCR_DV_3930887ff007_4">销售订单!$A$2:$A$25</definedName>
    <definedName name="_ExcelCR_DV_3930887ff007_5">销售订单!$A$2:$A$25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<sst xmlns="http://schemas.openxmlformats.org/spreadsheetml/2006/main" count="173" uniqueCount="102">
  <si>
    <t>学号</t>
  </si>
  <si>
    <t>姓名</t>
  </si>
  <si>
    <t>班级</t>
  </si>
  <si>
    <t>语文</t>
  </si>
  <si>
    <t>数学</t>
  </si>
  <si>
    <t>英语</t>
  </si>
  <si>
    <t>总分</t>
  </si>
  <si>
    <t>平均分</t>
  </si>
  <si>
    <t>S01</t>
  </si>
  <si>
    <t>张伟</t>
  </si>
  <si>
    <t>高一1班</t>
  </si>
  <si>
    <t>S02</t>
  </si>
  <si>
    <t>李娜</t>
  </si>
  <si>
    <t>S03</t>
  </si>
  <si>
    <t>王强</t>
  </si>
  <si>
    <t>S04</t>
  </si>
  <si>
    <t>赵敏</t>
  </si>
  <si>
    <t>S05</t>
  </si>
  <si>
    <t>刘洋</t>
  </si>
  <si>
    <t>高一2班</t>
  </si>
  <si>
    <t>S06</t>
  </si>
  <si>
    <t>陈静</t>
  </si>
  <si>
    <t>S07</t>
  </si>
  <si>
    <t>杨帆</t>
  </si>
  <si>
    <t>S08</t>
  </si>
  <si>
    <t>周雪</t>
  </si>
  <si>
    <t>S09</t>
  </si>
  <si>
    <t>吴磊</t>
  </si>
  <si>
    <t>高一3班</t>
  </si>
  <si>
    <t>S10</t>
  </si>
  <si>
    <t>郑好</t>
  </si>
  <si>
    <t>S11</t>
  </si>
  <si>
    <t>孙悦</t>
  </si>
  <si>
    <t>S12</t>
  </si>
  <si>
    <t>林浩</t>
  </si>
  <si>
    <t>班主任</t>
  </si>
  <si>
    <t>教室</t>
  </si>
  <si>
    <t>班级人数</t>
  </si>
  <si>
    <t>班级平均分</t>
  </si>
  <si>
    <t>语文平均分</t>
  </si>
  <si>
    <t>数学平均分</t>
  </si>
  <si>
    <t>英语平均分</t>
  </si>
  <si>
    <t>刘老师</t>
  </si>
  <si>
    <t>101</t>
  </si>
  <si>
    <t>陈老师</t>
  </si>
  <si>
    <t>102</t>
  </si>
  <si>
    <t>王老师</t>
  </si>
  <si>
    <t>103</t>
  </si>
  <si>
    <t>订单号</t>
  </si>
  <si>
    <t>日期</t>
  </si>
  <si>
    <t>客户</t>
  </si>
  <si>
    <t>区域</t>
  </si>
  <si>
    <t>产品</t>
  </si>
  <si>
    <t>数量</t>
  </si>
  <si>
    <t>单价</t>
  </si>
  <si>
    <t>金额</t>
  </si>
  <si>
    <t>SO-2601</t>
  </si>
  <si>
    <t>深圳鹏城数码</t>
  </si>
  <si>
    <t>华南</t>
  </si>
  <si>
    <t>显示器27寸</t>
  </si>
  <si>
    <t>SO-2602</t>
  </si>
  <si>
    <t>广州天河电子</t>
  </si>
  <si>
    <t>机械键盘</t>
  </si>
  <si>
    <t>SO-2603</t>
  </si>
  <si>
    <t>上海睿智科技</t>
  </si>
  <si>
    <t>华东</t>
  </si>
  <si>
    <t>无线鼠标</t>
  </si>
  <si>
    <t>SO-2604</t>
  </si>
  <si>
    <t>杭州西湖智能</t>
  </si>
  <si>
    <t>笔记本支架</t>
  </si>
  <si>
    <t>SO-2605</t>
  </si>
  <si>
    <t>北京中关村商贸</t>
  </si>
  <si>
    <t>华北</t>
  </si>
  <si>
    <t>SO-2606</t>
  </si>
  <si>
    <t>成都天府软件</t>
  </si>
  <si>
    <t>西南</t>
  </si>
  <si>
    <t>扩展坞</t>
  </si>
  <si>
    <t>SO-2607</t>
  </si>
  <si>
    <t>武汉光谷信息</t>
  </si>
  <si>
    <t>华中</t>
  </si>
  <si>
    <t>SO-2608</t>
  </si>
  <si>
    <t>西安高新电子</t>
  </si>
  <si>
    <t>西北</t>
  </si>
  <si>
    <t>SO-2609</t>
  </si>
  <si>
    <t>SO-2610</t>
  </si>
  <si>
    <t>SO-2611</t>
  </si>
  <si>
    <t>SO-2612</t>
  </si>
  <si>
    <t>SO-2613</t>
  </si>
  <si>
    <t>SO-2614</t>
  </si>
  <si>
    <t>SO-2615</t>
  </si>
  <si>
    <t>SO-2616</t>
  </si>
  <si>
    <t>SO-2617</t>
  </si>
  <si>
    <t>SO-2618</t>
  </si>
  <si>
    <t>SO-2619</t>
  </si>
  <si>
    <t>SO-2620</t>
  </si>
  <si>
    <t>SO-2621</t>
  </si>
  <si>
    <t>SO-2622</t>
  </si>
  <si>
    <t>SO-2623</t>
  </si>
  <si>
    <t>SO-2624</t>
  </si>
  <si>
    <t>订单查询面板</t>
  </si>
  <si>
    <t>订单编号：</t>
  </si>
  <si>
    <t>客户名称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</si>
</sst>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3"/>
      <name val="宋体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5" borderId="5">
      <alignment vertical="center"/>
    </xf>
    <xf numFmtId="0" fontId="12" fillId="6" borderId="6">
      <alignment vertical="center"/>
    </xf>
    <xf numFmtId="0" fontId="13" fillId="6" borderId="5">
      <alignment vertical="center"/>
    </xf>
    <xf numFmtId="0" fontId="14" fillId="7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176" fontId="0" fillId="0" borderId="1" xfId="0" applyNumberFormat="1" applyBorder="1"/>
    <xf numFmtId="3" fontId="0" fillId="0" borderId="1" xfId="0" applyNumberForma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topLeftCell="A16" workbookViewId="0">
      <selection activeCell="H2" sqref="H2"/>
    </sheetView>
  </sheetViews>
  <sheetFormatPr defaultColWidth="9" defaultRowHeight="13.5" outlineLevelCol="7"/>
  <cols>
    <col min="1" max="1" width="7" customWidth="1"/>
    <col min="2" max="2" width="8" customWidth="1"/>
    <col min="3" max="3" width="10" customWidth="1"/>
    <col min="4" max="6" width="6" customWidth="1"/>
    <col min="7" max="7" width="7" customWidth="1"/>
    <col min="8" max="9" width="8" customWidth="1"/>
    <col min="10" max="10" width="11.75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4" t="s">
        <v>8</v>
      </c>
      <c r="B2" s="4" t="s">
        <v>9</v>
      </c>
      <c r="C2" s="4" t="s">
        <v>10</v>
      </c>
      <c r="D2" s="4">
        <v>88</v>
      </c>
      <c r="E2" s="4">
        <v>92</v>
      </c>
      <c r="F2" s="4">
        <v>85</v>
      </c>
      <c r="G2" s="4">
        <f t="shared" ref="G2:G13" si="0">SUM(D2:F2)</f>
        <v>265</v>
      </c>
      <c r="H2" s="4">
        <f t="shared" ref="H2:H13" si="1">AVERAGE(D2:F2)</f>
        <v>88.3333333333333</v>
      </c>
    </row>
    <row r="3" spans="1:8">
      <c r="A3" s="4" t="s">
        <v>11</v>
      </c>
      <c r="B3" s="4" t="s">
        <v>12</v>
      </c>
      <c r="C3" s="4" t="s">
        <v>10</v>
      </c>
      <c r="D3" s="4">
        <v>82</v>
      </c>
      <c r="E3" s="4">
        <v>88</v>
      </c>
      <c r="F3" s="4">
        <v>90</v>
      </c>
      <c r="G3" s="4">
        <f t="shared" si="0"/>
        <v>260</v>
      </c>
      <c r="H3" s="4">
        <f t="shared" si="1"/>
        <v>86.6666666666667</v>
      </c>
    </row>
    <row r="4" spans="1:8">
      <c r="A4" s="4" t="s">
        <v>13</v>
      </c>
      <c r="B4" s="4" t="s">
        <v>14</v>
      </c>
      <c r="C4" s="4" t="s">
        <v>10</v>
      </c>
      <c r="D4" s="4">
        <v>95</v>
      </c>
      <c r="E4" s="4">
        <v>88</v>
      </c>
      <c r="F4" s="4">
        <v>92</v>
      </c>
      <c r="G4" s="4">
        <f t="shared" si="0"/>
        <v>275</v>
      </c>
      <c r="H4" s="4">
        <f t="shared" si="1"/>
        <v>91.6666666666667</v>
      </c>
    </row>
    <row r="5" spans="1:8">
      <c r="A5" s="4" t="s">
        <v>15</v>
      </c>
      <c r="B5" s="4" t="s">
        <v>16</v>
      </c>
      <c r="C5" s="4" t="s">
        <v>10</v>
      </c>
      <c r="D5" s="4">
        <v>52</v>
      </c>
      <c r="E5" s="4">
        <v>61</v>
      </c>
      <c r="F5" s="4">
        <v>47</v>
      </c>
      <c r="G5" s="4">
        <f t="shared" si="0"/>
        <v>160</v>
      </c>
      <c r="H5" s="4">
        <f t="shared" si="1"/>
        <v>53.3333333333333</v>
      </c>
    </row>
    <row r="6" spans="1:8">
      <c r="A6" s="4" t="s">
        <v>17</v>
      </c>
      <c r="B6" s="4" t="s">
        <v>18</v>
      </c>
      <c r="C6" s="4" t="s">
        <v>19</v>
      </c>
      <c r="D6" s="4">
        <v>79</v>
      </c>
      <c r="E6" s="4">
        <v>83</v>
      </c>
      <c r="F6" s="4">
        <v>74</v>
      </c>
      <c r="G6" s="4">
        <f t="shared" si="0"/>
        <v>236</v>
      </c>
      <c r="H6" s="4">
        <f t="shared" si="1"/>
        <v>78.6666666666667</v>
      </c>
    </row>
    <row r="7" spans="1:8">
      <c r="A7" s="4" t="s">
        <v>20</v>
      </c>
      <c r="B7" s="4" t="s">
        <v>21</v>
      </c>
      <c r="C7" s="4" t="s">
        <v>19</v>
      </c>
      <c r="D7" s="4">
        <v>91</v>
      </c>
      <c r="E7" s="4">
        <v>78</v>
      </c>
      <c r="F7" s="4">
        <v>84</v>
      </c>
      <c r="G7" s="4">
        <f t="shared" si="0"/>
        <v>253</v>
      </c>
      <c r="H7" s="4">
        <f t="shared" si="1"/>
        <v>84.3333333333333</v>
      </c>
    </row>
    <row r="8" spans="1:8">
      <c r="A8" s="4" t="s">
        <v>22</v>
      </c>
      <c r="B8" s="4" t="s">
        <v>23</v>
      </c>
      <c r="C8" s="4" t="s">
        <v>19</v>
      </c>
      <c r="D8" s="4">
        <v>88</v>
      </c>
      <c r="E8" s="4">
        <v>92</v>
      </c>
      <c r="F8" s="4">
        <v>86</v>
      </c>
      <c r="G8" s="4">
        <f t="shared" si="0"/>
        <v>266</v>
      </c>
      <c r="H8" s="4">
        <f t="shared" si="1"/>
        <v>88.6666666666667</v>
      </c>
    </row>
    <row r="9" spans="1:8">
      <c r="A9" s="4" t="s">
        <v>24</v>
      </c>
      <c r="B9" s="4" t="s">
        <v>25</v>
      </c>
      <c r="C9" s="4" t="s">
        <v>19</v>
      </c>
      <c r="D9" s="4">
        <v>85</v>
      </c>
      <c r="E9" s="4">
        <v>93</v>
      </c>
      <c r="F9" s="4">
        <v>81</v>
      </c>
      <c r="G9" s="4">
        <f t="shared" si="0"/>
        <v>259</v>
      </c>
      <c r="H9" s="4">
        <f t="shared" si="1"/>
        <v>86.3333333333333</v>
      </c>
    </row>
    <row r="10" spans="1:8">
      <c r="A10" s="4" t="s">
        <v>26</v>
      </c>
      <c r="B10" s="4" t="s">
        <v>27</v>
      </c>
      <c r="C10" s="4" t="s">
        <v>28</v>
      </c>
      <c r="D10" s="4">
        <v>73</v>
      </c>
      <c r="E10" s="4">
        <v>66</v>
      </c>
      <c r="F10" s="4">
        <v>69</v>
      </c>
      <c r="G10" s="4">
        <f t="shared" si="0"/>
        <v>208</v>
      </c>
      <c r="H10" s="4">
        <f t="shared" si="1"/>
        <v>69.3333333333333</v>
      </c>
    </row>
    <row r="11" spans="1:8">
      <c r="A11" s="4" t="s">
        <v>29</v>
      </c>
      <c r="B11" s="4" t="s">
        <v>30</v>
      </c>
      <c r="C11" s="4" t="s">
        <v>28</v>
      </c>
      <c r="D11" s="4">
        <v>95</v>
      </c>
      <c r="E11" s="4">
        <v>94</v>
      </c>
      <c r="F11" s="4">
        <v>91</v>
      </c>
      <c r="G11" s="4">
        <f t="shared" si="0"/>
        <v>280</v>
      </c>
      <c r="H11" s="4">
        <f t="shared" si="1"/>
        <v>93.3333333333333</v>
      </c>
    </row>
    <row r="12" spans="1:8">
      <c r="A12" s="4" t="s">
        <v>31</v>
      </c>
      <c r="B12" s="4" t="s">
        <v>32</v>
      </c>
      <c r="C12" s="4" t="s">
        <v>28</v>
      </c>
      <c r="D12" s="4">
        <v>84</v>
      </c>
      <c r="E12" s="4">
        <v>79</v>
      </c>
      <c r="F12" s="4">
        <v>82</v>
      </c>
      <c r="G12" s="4">
        <f t="shared" si="0"/>
        <v>245</v>
      </c>
      <c r="H12" s="4">
        <f t="shared" si="1"/>
        <v>81.6666666666667</v>
      </c>
    </row>
    <row r="13" spans="1:8">
      <c r="A13" s="4" t="s">
        <v>33</v>
      </c>
      <c r="B13" s="4" t="s">
        <v>34</v>
      </c>
      <c r="C13" s="4" t="s">
        <v>28</v>
      </c>
      <c r="D13" s="4">
        <v>82</v>
      </c>
      <c r="E13" s="4">
        <v>90</v>
      </c>
      <c r="F13" s="4">
        <v>76</v>
      </c>
      <c r="G13" s="4">
        <f t="shared" si="0"/>
        <v>248</v>
      </c>
      <c r="H13" s="4">
        <f t="shared" si="1"/>
        <v>82.6666666666667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T21" sqref="T21"/>
    </sheetView>
  </sheetViews>
  <sheetFormatPr defaultColWidth="9" defaultRowHeight="13.5" outlineLevelRow="3" outlineLevelCol="7"/>
  <cols>
    <col min="1" max="1" width="10" customWidth="1"/>
    <col min="2" max="2" width="9" customWidth="1"/>
    <col min="3" max="3" width="7" customWidth="1"/>
    <col min="4" max="4" width="9" customWidth="1"/>
    <col min="5" max="5" width="10.625" customWidth="1"/>
  </cols>
  <sheetData>
    <row r="1" spans="1:8">
      <c r="A1" s="3" t="s">
        <v>2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</row>
    <row r="2" spans="1:8">
      <c r="A2" s="4" t="s">
        <v>10</v>
      </c>
      <c r="B2" s="4" t="s">
        <v>42</v>
      </c>
      <c r="C2" s="4" t="s">
        <v>43</v>
      </c>
      <c r="D2" s="4">
        <f>COUNTIF(成绩单!$C$2:$C$13,A2)</f>
        <v>4</v>
      </c>
      <c r="E2" s="4">
        <f>AVERAGEIF(成绩单!$C$2:$C$13,A2,成绩单!$H$2:$H$13)</f>
        <v>80</v>
      </c>
      <c r="F2" s="4">
        <f>AVERAGEIF(成绩单!$C$2:$C$13,$A2,成绩单!D$2:D$13)</f>
        <v>79.25</v>
      </c>
      <c r="G2" s="4">
        <f>AVERAGEIF(成绩单!$C$2:$C$13,$A2,成绩单!E$2:E$13)</f>
        <v>82.25</v>
      </c>
      <c r="H2" s="4">
        <f>AVERAGEIF(成绩单!$C$2:$C$13,$A2,成绩单!F$2:F$13)</f>
        <v>78.5</v>
      </c>
    </row>
    <row r="3" spans="1:8">
      <c r="A3" s="4" t="s">
        <v>19</v>
      </c>
      <c r="B3" s="4" t="s">
        <v>44</v>
      </c>
      <c r="C3" s="4" t="s">
        <v>45</v>
      </c>
      <c r="D3" s="4">
        <f>COUNTIF(成绩单!$C$2:$C$13,A3)</f>
        <v>4</v>
      </c>
      <c r="E3" s="4">
        <f>AVERAGEIF(成绩单!$C$2:$C$13,A3,成绩单!$H$2:$H$13)</f>
        <v>84.5</v>
      </c>
      <c r="F3" s="4">
        <f>AVERAGEIF(成绩单!$C$2:$C$13,$A3,成绩单!D$2:D$13)</f>
        <v>85.75</v>
      </c>
      <c r="G3" s="4">
        <f>AVERAGEIF(成绩单!$C$2:$C$13,$A3,成绩单!E$2:E$13)</f>
        <v>86.5</v>
      </c>
      <c r="H3" s="4">
        <f>AVERAGEIF(成绩单!$C$2:$C$13,$A3,成绩单!F$2:F$13)</f>
        <v>81.25</v>
      </c>
    </row>
    <row r="4" spans="1:8">
      <c r="A4" s="4" t="s">
        <v>28</v>
      </c>
      <c r="B4" s="4" t="s">
        <v>46</v>
      </c>
      <c r="C4" s="4" t="s">
        <v>47</v>
      </c>
      <c r="D4" s="4">
        <f>COUNTIF(成绩单!$C$2:$C$13,A4)</f>
        <v>4</v>
      </c>
      <c r="E4" s="4">
        <f>AVERAGEIF(成绩单!$C$2:$C$13,A4,成绩单!$H$2:$H$13)</f>
        <v>81.75</v>
      </c>
      <c r="F4" s="4">
        <f>AVERAGEIF(成绩单!$C$2:$C$13,$A4,成绩单!D$2:D$13)</f>
        <v>83.5</v>
      </c>
      <c r="G4" s="4">
        <f>AVERAGEIF(成绩单!$C$2:$C$13,$A4,成绩单!E$2:E$13)</f>
        <v>82.25</v>
      </c>
      <c r="H4" s="4">
        <f>AVERAGEIF(成绩单!$C$2:$C$13,$A4,成绩单!F$2:F$13)</f>
        <v>79.5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selection activeCell="H14" sqref="H14"/>
    </sheetView>
  </sheetViews>
  <sheetFormatPr defaultColWidth="9" defaultRowHeight="13.5" outlineLevelCol="7"/>
  <cols>
    <col min="1" max="1" width="10" customWidth="1"/>
    <col min="2" max="2" width="12" customWidth="1"/>
    <col min="3" max="3" width="17" customWidth="1"/>
    <col min="4" max="4" width="8" customWidth="1"/>
    <col min="5" max="5" width="14" customWidth="1"/>
    <col min="6" max="6" width="7" customWidth="1"/>
    <col min="7" max="7" width="8" customWidth="1"/>
    <col min="8" max="8" width="11" customWidth="1"/>
  </cols>
  <sheetData>
    <row r="1" spans="1:8">
      <c r="A1" s="3" t="s">
        <v>48</v>
      </c>
      <c r="B1" s="3" t="s">
        <v>49</v>
      </c>
      <c r="C1" s="3" t="s">
        <v>50</v>
      </c>
      <c r="D1" s="3" t="s">
        <v>51</v>
      </c>
      <c r="E1" s="3" t="s">
        <v>52</v>
      </c>
      <c r="F1" s="3" t="s">
        <v>53</v>
      </c>
      <c r="G1" s="3" t="s">
        <v>54</v>
      </c>
      <c r="H1" s="3" t="s">
        <v>55</v>
      </c>
    </row>
    <row r="2" spans="1:8">
      <c r="A2" s="4" t="s">
        <v>56</v>
      </c>
      <c r="B2" s="5">
        <v>46027</v>
      </c>
      <c r="C2" s="4" t="s">
        <v>57</v>
      </c>
      <c r="D2" s="4" t="s">
        <v>58</v>
      </c>
      <c r="E2" s="4" t="s">
        <v>59</v>
      </c>
      <c r="F2" s="4">
        <v>12</v>
      </c>
      <c r="G2" s="6">
        <v>1099</v>
      </c>
      <c r="H2" s="6">
        <f t="shared" ref="H2:H25" si="0">F2*G2</f>
        <v>13188</v>
      </c>
    </row>
    <row r="3" spans="1:8">
      <c r="A3" s="4" t="s">
        <v>60</v>
      </c>
      <c r="B3" s="5">
        <v>46034</v>
      </c>
      <c r="C3" s="4" t="s">
        <v>61</v>
      </c>
      <c r="D3" s="4" t="s">
        <v>58</v>
      </c>
      <c r="E3" s="4" t="s">
        <v>62</v>
      </c>
      <c r="F3" s="4">
        <v>30</v>
      </c>
      <c r="G3" s="6">
        <v>399</v>
      </c>
      <c r="H3" s="6">
        <f t="shared" si="0"/>
        <v>11970</v>
      </c>
    </row>
    <row r="4" spans="1:8">
      <c r="A4" s="4" t="s">
        <v>63</v>
      </c>
      <c r="B4" s="5">
        <v>46042</v>
      </c>
      <c r="C4" s="4" t="s">
        <v>64</v>
      </c>
      <c r="D4" s="4" t="s">
        <v>65</v>
      </c>
      <c r="E4" s="4" t="s">
        <v>66</v>
      </c>
      <c r="F4" s="4">
        <v>40</v>
      </c>
      <c r="G4" s="6">
        <v>129</v>
      </c>
      <c r="H4" s="6">
        <f t="shared" si="0"/>
        <v>5160</v>
      </c>
    </row>
    <row r="5" spans="1:8">
      <c r="A5" s="4" t="s">
        <v>67</v>
      </c>
      <c r="B5" s="5">
        <v>46056</v>
      </c>
      <c r="C5" s="4" t="s">
        <v>68</v>
      </c>
      <c r="D5" s="4" t="s">
        <v>65</v>
      </c>
      <c r="E5" s="4" t="s">
        <v>69</v>
      </c>
      <c r="F5" s="4">
        <v>25</v>
      </c>
      <c r="G5" s="6">
        <v>89</v>
      </c>
      <c r="H5" s="6">
        <f t="shared" si="0"/>
        <v>2225</v>
      </c>
    </row>
    <row r="6" spans="1:8">
      <c r="A6" s="4" t="s">
        <v>70</v>
      </c>
      <c r="B6" s="5">
        <v>46064</v>
      </c>
      <c r="C6" s="4" t="s">
        <v>71</v>
      </c>
      <c r="D6" s="4" t="s">
        <v>72</v>
      </c>
      <c r="E6" s="4" t="s">
        <v>59</v>
      </c>
      <c r="F6" s="4">
        <v>18</v>
      </c>
      <c r="G6" s="6">
        <v>1099</v>
      </c>
      <c r="H6" s="6">
        <f t="shared" si="0"/>
        <v>19782</v>
      </c>
    </row>
    <row r="7" spans="1:8">
      <c r="A7" s="4" t="s">
        <v>73</v>
      </c>
      <c r="B7" s="5">
        <v>46071</v>
      </c>
      <c r="C7" s="4" t="s">
        <v>74</v>
      </c>
      <c r="D7" s="4" t="s">
        <v>75</v>
      </c>
      <c r="E7" s="4" t="s">
        <v>76</v>
      </c>
      <c r="F7" s="4">
        <v>22</v>
      </c>
      <c r="G7" s="6">
        <v>249</v>
      </c>
      <c r="H7" s="6">
        <f t="shared" si="0"/>
        <v>5478</v>
      </c>
    </row>
    <row r="8" spans="1:8">
      <c r="A8" s="4" t="s">
        <v>77</v>
      </c>
      <c r="B8" s="5">
        <v>46078</v>
      </c>
      <c r="C8" s="4" t="s">
        <v>78</v>
      </c>
      <c r="D8" s="4" t="s">
        <v>79</v>
      </c>
      <c r="E8" s="4" t="s">
        <v>62</v>
      </c>
      <c r="F8" s="4">
        <v>35</v>
      </c>
      <c r="G8" s="6">
        <v>399</v>
      </c>
      <c r="H8" s="6">
        <f t="shared" si="0"/>
        <v>13965</v>
      </c>
    </row>
    <row r="9" spans="1:8">
      <c r="A9" s="4" t="s">
        <v>80</v>
      </c>
      <c r="B9" s="5">
        <v>46085</v>
      </c>
      <c r="C9" s="4" t="s">
        <v>81</v>
      </c>
      <c r="D9" s="4" t="s">
        <v>82</v>
      </c>
      <c r="E9" s="4" t="s">
        <v>66</v>
      </c>
      <c r="F9" s="4">
        <v>50</v>
      </c>
      <c r="G9" s="6">
        <v>129</v>
      </c>
      <c r="H9" s="6">
        <f t="shared" si="0"/>
        <v>6450</v>
      </c>
    </row>
    <row r="10" spans="1:8">
      <c r="A10" s="4" t="s">
        <v>83</v>
      </c>
      <c r="B10" s="5">
        <v>46091</v>
      </c>
      <c r="C10" s="4" t="s">
        <v>57</v>
      </c>
      <c r="D10" s="4" t="s">
        <v>58</v>
      </c>
      <c r="E10" s="4" t="s">
        <v>76</v>
      </c>
      <c r="F10" s="4">
        <v>16</v>
      </c>
      <c r="G10" s="6">
        <v>249</v>
      </c>
      <c r="H10" s="6">
        <f t="shared" si="0"/>
        <v>3984</v>
      </c>
    </row>
    <row r="11" spans="1:8">
      <c r="A11" s="4" t="s">
        <v>84</v>
      </c>
      <c r="B11" s="5">
        <v>46098</v>
      </c>
      <c r="C11" s="4" t="s">
        <v>64</v>
      </c>
      <c r="D11" s="4" t="s">
        <v>65</v>
      </c>
      <c r="E11" s="4" t="s">
        <v>59</v>
      </c>
      <c r="F11" s="4">
        <v>9</v>
      </c>
      <c r="G11" s="6">
        <v>1099</v>
      </c>
      <c r="H11" s="6">
        <f t="shared" si="0"/>
        <v>9891</v>
      </c>
    </row>
    <row r="12" spans="1:8">
      <c r="A12" s="4" t="s">
        <v>85</v>
      </c>
      <c r="B12" s="5">
        <v>46105</v>
      </c>
      <c r="C12" s="4" t="s">
        <v>71</v>
      </c>
      <c r="D12" s="4" t="s">
        <v>72</v>
      </c>
      <c r="E12" s="4" t="s">
        <v>62</v>
      </c>
      <c r="F12" s="4">
        <v>28</v>
      </c>
      <c r="G12" s="6">
        <v>399</v>
      </c>
      <c r="H12" s="6">
        <f t="shared" si="0"/>
        <v>11172</v>
      </c>
    </row>
    <row r="13" spans="1:8">
      <c r="A13" s="4" t="s">
        <v>86</v>
      </c>
      <c r="B13" s="5">
        <v>46114</v>
      </c>
      <c r="C13" s="4" t="s">
        <v>61</v>
      </c>
      <c r="D13" s="4" t="s">
        <v>58</v>
      </c>
      <c r="E13" s="4" t="s">
        <v>69</v>
      </c>
      <c r="F13" s="4">
        <v>36</v>
      </c>
      <c r="G13" s="6">
        <v>89</v>
      </c>
      <c r="H13" s="6">
        <f t="shared" si="0"/>
        <v>3204</v>
      </c>
    </row>
    <row r="14" spans="1:8">
      <c r="A14" s="4" t="s">
        <v>87</v>
      </c>
      <c r="B14" s="5">
        <v>46121</v>
      </c>
      <c r="C14" s="4" t="s">
        <v>68</v>
      </c>
      <c r="D14" s="4" t="s">
        <v>65</v>
      </c>
      <c r="E14" s="4" t="s">
        <v>66</v>
      </c>
      <c r="F14" s="4">
        <v>45</v>
      </c>
      <c r="G14" s="6">
        <v>129</v>
      </c>
      <c r="H14" s="6">
        <f t="shared" si="0"/>
        <v>5805</v>
      </c>
    </row>
    <row r="15" spans="1:8">
      <c r="A15" s="4" t="s">
        <v>88</v>
      </c>
      <c r="B15" s="5">
        <v>46128</v>
      </c>
      <c r="C15" s="4" t="s">
        <v>74</v>
      </c>
      <c r="D15" s="4" t="s">
        <v>75</v>
      </c>
      <c r="E15" s="4" t="s">
        <v>59</v>
      </c>
      <c r="F15" s="4">
        <v>14</v>
      </c>
      <c r="G15" s="6">
        <v>1099</v>
      </c>
      <c r="H15" s="6">
        <f t="shared" si="0"/>
        <v>15386</v>
      </c>
    </row>
    <row r="16" spans="1:8">
      <c r="A16" s="4" t="s">
        <v>89</v>
      </c>
      <c r="B16" s="5">
        <v>46135</v>
      </c>
      <c r="C16" s="4" t="s">
        <v>78</v>
      </c>
      <c r="D16" s="4" t="s">
        <v>79</v>
      </c>
      <c r="E16" s="4" t="s">
        <v>76</v>
      </c>
      <c r="F16" s="4">
        <v>19</v>
      </c>
      <c r="G16" s="6">
        <v>249</v>
      </c>
      <c r="H16" s="6">
        <f t="shared" si="0"/>
        <v>4731</v>
      </c>
    </row>
    <row r="17" spans="1:8">
      <c r="A17" s="4" t="s">
        <v>90</v>
      </c>
      <c r="B17" s="5">
        <v>46148</v>
      </c>
      <c r="C17" s="4" t="s">
        <v>57</v>
      </c>
      <c r="D17" s="4" t="s">
        <v>58</v>
      </c>
      <c r="E17" s="4" t="s">
        <v>62</v>
      </c>
      <c r="F17" s="4">
        <v>42</v>
      </c>
      <c r="G17" s="6">
        <v>399</v>
      </c>
      <c r="H17" s="6">
        <f t="shared" si="0"/>
        <v>16758</v>
      </c>
    </row>
    <row r="18" spans="1:8">
      <c r="A18" s="4" t="s">
        <v>91</v>
      </c>
      <c r="B18" s="5">
        <v>46155</v>
      </c>
      <c r="C18" s="4" t="s">
        <v>64</v>
      </c>
      <c r="D18" s="4" t="s">
        <v>65</v>
      </c>
      <c r="E18" s="4" t="s">
        <v>69</v>
      </c>
      <c r="F18" s="4">
        <v>31</v>
      </c>
      <c r="G18" s="6">
        <v>89</v>
      </c>
      <c r="H18" s="6">
        <f t="shared" si="0"/>
        <v>2759</v>
      </c>
    </row>
    <row r="19" spans="1:8">
      <c r="A19" s="4" t="s">
        <v>92</v>
      </c>
      <c r="B19" s="5">
        <v>46162</v>
      </c>
      <c r="C19" s="4" t="s">
        <v>71</v>
      </c>
      <c r="D19" s="4" t="s">
        <v>72</v>
      </c>
      <c r="E19" s="4" t="s">
        <v>66</v>
      </c>
      <c r="F19" s="4">
        <v>55</v>
      </c>
      <c r="G19" s="6">
        <v>129</v>
      </c>
      <c r="H19" s="6">
        <f t="shared" si="0"/>
        <v>7095</v>
      </c>
    </row>
    <row r="20" spans="1:8">
      <c r="A20" s="4" t="s">
        <v>93</v>
      </c>
      <c r="B20" s="5">
        <v>46169</v>
      </c>
      <c r="C20" s="4" t="s">
        <v>81</v>
      </c>
      <c r="D20" s="4" t="s">
        <v>82</v>
      </c>
      <c r="E20" s="4" t="s">
        <v>59</v>
      </c>
      <c r="F20" s="4">
        <v>11</v>
      </c>
      <c r="G20" s="6">
        <v>1099</v>
      </c>
      <c r="H20" s="6">
        <f t="shared" si="0"/>
        <v>12089</v>
      </c>
    </row>
    <row r="21" spans="1:8">
      <c r="A21" s="4" t="s">
        <v>94</v>
      </c>
      <c r="B21" s="5">
        <v>46176</v>
      </c>
      <c r="C21" s="4" t="s">
        <v>61</v>
      </c>
      <c r="D21" s="4" t="s">
        <v>58</v>
      </c>
      <c r="E21" s="4" t="s">
        <v>76</v>
      </c>
      <c r="F21" s="4">
        <v>24</v>
      </c>
      <c r="G21" s="6">
        <v>249</v>
      </c>
      <c r="H21" s="6">
        <f t="shared" si="0"/>
        <v>5976</v>
      </c>
    </row>
    <row r="22" spans="1:8">
      <c r="A22" s="4" t="s">
        <v>95</v>
      </c>
      <c r="B22" s="5">
        <v>46183</v>
      </c>
      <c r="C22" s="4" t="s">
        <v>68</v>
      </c>
      <c r="D22" s="4" t="s">
        <v>65</v>
      </c>
      <c r="E22" s="4" t="s">
        <v>62</v>
      </c>
      <c r="F22" s="4">
        <v>33</v>
      </c>
      <c r="G22" s="6">
        <v>399</v>
      </c>
      <c r="H22" s="6">
        <f t="shared" si="0"/>
        <v>13167</v>
      </c>
    </row>
    <row r="23" spans="1:8">
      <c r="A23" s="4" t="s">
        <v>96</v>
      </c>
      <c r="B23" s="5">
        <v>46190</v>
      </c>
      <c r="C23" s="4" t="s">
        <v>74</v>
      </c>
      <c r="D23" s="4" t="s">
        <v>75</v>
      </c>
      <c r="E23" s="4" t="s">
        <v>66</v>
      </c>
      <c r="F23" s="4">
        <v>48</v>
      </c>
      <c r="G23" s="6">
        <v>129</v>
      </c>
      <c r="H23" s="6">
        <f t="shared" si="0"/>
        <v>6192</v>
      </c>
    </row>
    <row r="24" spans="1:8">
      <c r="A24" s="4" t="s">
        <v>97</v>
      </c>
      <c r="B24" s="5">
        <v>46197</v>
      </c>
      <c r="C24" s="4" t="s">
        <v>57</v>
      </c>
      <c r="D24" s="4" t="s">
        <v>58</v>
      </c>
      <c r="E24" s="4" t="s">
        <v>59</v>
      </c>
      <c r="F24" s="4">
        <v>20</v>
      </c>
      <c r="G24" s="6">
        <v>1099</v>
      </c>
      <c r="H24" s="6">
        <f t="shared" si="0"/>
        <v>21980</v>
      </c>
    </row>
    <row r="25" spans="1:8">
      <c r="A25" s="4" t="s">
        <v>98</v>
      </c>
      <c r="B25" s="5">
        <v>46204</v>
      </c>
      <c r="C25" s="4" t="s">
        <v>64</v>
      </c>
      <c r="D25" s="4" t="s">
        <v>65</v>
      </c>
      <c r="E25" s="4" t="s">
        <v>76</v>
      </c>
      <c r="F25" s="4">
        <v>15</v>
      </c>
      <c r="G25" s="6">
        <v>249</v>
      </c>
      <c r="H25" s="6">
        <f t="shared" si="0"/>
        <v>3735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3" sqref="B3"/>
    </sheetView>
  </sheetViews>
  <sheetFormatPr defaultColWidth="9" defaultRowHeight="13.5" outlineLevelRow="7" outlineLevelCol="1"/>
  <cols>
    <col min="1" max="1" width="14" customWidth="1"/>
    <col min="2" max="2" width="22" customWidth="1"/>
  </cols>
  <sheetData>
    <row r="1" ht="15" customHeight="1" spans="1:2">
      <c r="A1" s="1" t="s">
        <v>99</v>
      </c>
    </row>
    <row r="3" spans="1:2">
      <c r="A3" t="s">
        <v>100</v>
      </c>
      <c r="B3" s="2" t="s">
        <v>67</v>
      </c>
    </row>
    <row r="4" spans="1:2">
      <c r="A4" t="s">
        <v>101</v>
      </c>
      <c r="B4" t="str">
        <f>VLOOKUP($B$3,销售订单!$A$2:$H$25,3,0)</f>
        <v>杭州西湖智能</v>
      </c>
    </row>
    <row r="5" spans="1:2">
      <c r="A5" t="s">
        <v>51</v>
      </c>
      <c r="B5" t="str">
        <f>VLOOKUP($B$3,销售订单!$A$2:$H$25,4,0)</f>
        <v>华东</v>
      </c>
    </row>
    <row r="6" spans="1:2">
      <c r="A6" t="s">
        <v>52</v>
      </c>
      <c r="B6" t="str">
        <f>VLOOKUP($B$3,销售订单!$A$2:$H$25,5,0)</f>
        <v>笔记本支架</v>
      </c>
    </row>
    <row r="7" spans="1:2">
      <c r="A7" t="s">
        <v>53</v>
      </c>
      <c r="B7">
        <f>VLOOKUP($B$3,销售订单!$A$2:$H$25,6,0)</f>
        <v>25</v>
      </c>
    </row>
    <row r="8" spans="1:2">
      <c r="A8" t="s">
        <v>55</v>
      </c>
      <c r="B8">
        <f>VLOOKUP($B$3,销售订单!$A$2:$H$25,8,0)</f>
        <v>2225</v>
      </c>
    </row>
  </sheetData>
  <dataValidations count="1">
    <dataValidation type="list" allowBlank="1" showErrorMessage="1" errorTitle="请选择列表中的数据" error="输入值不在下拉列表中，请重新选择。" sqref="B3">
      <formula1>_ExcelCR_DV_3930887ff007_5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cols>
    <col min="2" max="2" width="13.75" customWidth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成绩单</vt:lpstr>
      <vt:lpstr>班级信息</vt:lpstr>
      <vt:lpstr>销售订单</vt:lpstr>
      <vt:lpstr>订单查询</vt:lpstr>
      <vt:lpstr>区域汇总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微信用户</cp:lastModifiedBy>
  <dcterms:created xsi:type="dcterms:W3CDTF">2026-09-18T05:00:00Z</dcterms:created>
  <dcterms:modified xsi:type="dcterms:W3CDTF">2026-09-19T09:36:50Z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0565E22246194C26ADC14500DFDCF69E_12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