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台账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9" customWidth="1" min="8" max="8"/>
  </cols>
  <sheetData>
    <row r="1">
      <c r="A1" s="1" t="inlineStr">
        <is>
          <t>商品编码</t>
        </is>
      </c>
      <c r="B1" s="1" t="inlineStr">
        <is>
          <t>商品名称</t>
        </is>
      </c>
      <c r="C1" s="1" t="inlineStr">
        <is>
          <t>类别</t>
        </is>
      </c>
      <c r="D1" s="1" t="inlineStr">
        <is>
          <t>库存数量</t>
        </is>
      </c>
      <c r="E1" s="1" t="inlineStr">
        <is>
          <t>安全库存</t>
        </is>
      </c>
      <c r="F1" s="1" t="inlineStr">
        <is>
          <t>单价</t>
        </is>
      </c>
      <c r="G1" s="1" t="inlineStr">
        <is>
          <t>库存金额</t>
        </is>
      </c>
      <c r="H1" s="1" t="inlineStr">
        <is>
          <t>状态</t>
        </is>
      </c>
    </row>
    <row r="2">
      <c r="A2" t="inlineStr">
        <is>
          <t>P001</t>
        </is>
      </c>
      <c r="B2" t="inlineStr">
        <is>
          <t>A4复印纸</t>
        </is>
      </c>
      <c r="C2" t="inlineStr">
        <is>
          <t>办公用品</t>
        </is>
      </c>
      <c r="D2" t="n">
        <v>120</v>
      </c>
      <c r="E2" t="n">
        <v>50</v>
      </c>
      <c r="F2" s="2" t="n">
        <v>25.5</v>
      </c>
      <c r="G2" s="2">
        <f>D2*F2</f>
        <v/>
      </c>
      <c r="H2" s="2">
        <f>IF(D2&gt;E2,"过多",IF(D2&lt;E2,"需补货","正常"))</f>
        <v/>
      </c>
    </row>
    <row r="3">
      <c r="A3" t="inlineStr">
        <is>
          <t>P002</t>
        </is>
      </c>
      <c r="B3" t="inlineStr">
        <is>
          <t>中性笔(黑)</t>
        </is>
      </c>
      <c r="C3" t="inlineStr">
        <is>
          <t>办公用品</t>
        </is>
      </c>
      <c r="D3" t="n">
        <v>300</v>
      </c>
      <c r="E3" t="n">
        <v>100</v>
      </c>
      <c r="F3" s="2" t="n">
        <v>2.5</v>
      </c>
      <c r="G3" s="2">
        <f>D3*F3</f>
        <v/>
      </c>
      <c r="H3" s="2">
        <f>IF(D3&gt;E3,"过多",IF(D3&lt;E3,"需补货","正常"))</f>
        <v/>
      </c>
    </row>
    <row r="4">
      <c r="A4" t="inlineStr">
        <is>
          <t>P003</t>
        </is>
      </c>
      <c r="B4" t="inlineStr">
        <is>
          <t>订书机</t>
        </is>
      </c>
      <c r="C4" t="inlineStr">
        <is>
          <t>办公用品</t>
        </is>
      </c>
      <c r="D4" t="n">
        <v>40</v>
      </c>
      <c r="E4" t="n">
        <v>30</v>
      </c>
      <c r="F4" s="2" t="n">
        <v>18</v>
      </c>
      <c r="G4" s="2">
        <f>D4*F4</f>
        <v/>
      </c>
      <c r="H4" s="2">
        <f>IF(D4&gt;E4,"过多",IF(D4&lt;E4,"需补货","正常"))</f>
        <v/>
      </c>
    </row>
    <row r="5">
      <c r="A5" t="inlineStr">
        <is>
          <t>P004</t>
        </is>
      </c>
      <c r="B5" t="inlineStr">
        <is>
          <t>文件柜</t>
        </is>
      </c>
      <c r="C5" t="inlineStr">
        <is>
          <t>办公用品</t>
        </is>
      </c>
      <c r="D5" t="n">
        <v>12</v>
      </c>
      <c r="E5" t="n">
        <v>15</v>
      </c>
      <c r="F5" s="2" t="n">
        <v>480</v>
      </c>
      <c r="G5" s="2">
        <f>D5*F5</f>
        <v/>
      </c>
      <c r="H5" s="2">
        <f>IF(D5&gt;E5,"过多",IF(D5&lt;E5,"需补货","正常"))</f>
        <v/>
      </c>
    </row>
    <row r="6">
      <c r="A6" t="inlineStr">
        <is>
          <t>P005</t>
        </is>
      </c>
      <c r="B6" t="inlineStr">
        <is>
          <t>笔记本支架</t>
        </is>
      </c>
      <c r="C6" t="inlineStr">
        <is>
          <t>电子设备</t>
        </is>
      </c>
      <c r="D6" t="n">
        <v>35</v>
      </c>
      <c r="E6" t="n">
        <v>20</v>
      </c>
      <c r="F6" s="2" t="n">
        <v>89</v>
      </c>
      <c r="G6" s="2">
        <f>D6*F6</f>
        <v/>
      </c>
      <c r="H6" s="2">
        <f>IF(D6&gt;E6,"过多",IF(D6&lt;E6,"需补货","正常"))</f>
        <v/>
      </c>
    </row>
    <row r="7">
      <c r="A7" t="inlineStr">
        <is>
          <t>P006</t>
        </is>
      </c>
      <c r="B7" t="inlineStr">
        <is>
          <t>无线鼠标</t>
        </is>
      </c>
      <c r="C7" t="inlineStr">
        <is>
          <t>电子设备</t>
        </is>
      </c>
      <c r="D7" t="n">
        <v>18</v>
      </c>
      <c r="E7" t="n">
        <v>25</v>
      </c>
      <c r="F7" s="2" t="n">
        <v>59</v>
      </c>
      <c r="G7" s="2">
        <f>D7*F7</f>
        <v/>
      </c>
      <c r="H7" s="2">
        <f>IF(D7&gt;E7,"过多",IF(D7&lt;E7,"需补货","正常"))</f>
        <v/>
      </c>
    </row>
    <row r="8">
      <c r="A8" t="inlineStr">
        <is>
          <t>P007</t>
        </is>
      </c>
      <c r="B8" t="inlineStr">
        <is>
          <t>机械键盘</t>
        </is>
      </c>
      <c r="C8" t="inlineStr">
        <is>
          <t>电子设备</t>
        </is>
      </c>
      <c r="D8" t="n">
        <v>22</v>
      </c>
      <c r="E8" t="n">
        <v>15</v>
      </c>
      <c r="F8" s="2" t="n">
        <v>329</v>
      </c>
      <c r="G8" s="2">
        <f>D8*F8</f>
        <v/>
      </c>
      <c r="H8" s="2">
        <f>IF(D8&gt;E8,"过多",IF(D8&lt;E8,"需补货","正常"))</f>
        <v/>
      </c>
    </row>
    <row r="9">
      <c r="A9" t="inlineStr">
        <is>
          <t>P008</t>
        </is>
      </c>
      <c r="B9" t="inlineStr">
        <is>
          <t>显示器27寸</t>
        </is>
      </c>
      <c r="C9" t="inlineStr">
        <is>
          <t>电子设备</t>
        </is>
      </c>
      <c r="D9" t="n">
        <v>8</v>
      </c>
      <c r="E9" t="n">
        <v>10</v>
      </c>
      <c r="F9" s="2" t="n">
        <v>1099</v>
      </c>
      <c r="G9" s="2">
        <f>D9*F9</f>
        <v/>
      </c>
      <c r="H9" s="2">
        <f>IF(D9&gt;E9,"过多",IF(D9&lt;E9,"需补货","正常"))</f>
        <v/>
      </c>
    </row>
    <row r="10">
      <c r="A10" t="inlineStr">
        <is>
          <t>P009</t>
        </is>
      </c>
      <c r="B10" t="inlineStr">
        <is>
          <t>USB扩展坞</t>
        </is>
      </c>
      <c r="C10" t="inlineStr">
        <is>
          <t>电子设备</t>
        </is>
      </c>
      <c r="D10" t="n">
        <v>45</v>
      </c>
      <c r="E10" t="n">
        <v>20</v>
      </c>
      <c r="F10" s="2" t="n">
        <v>129</v>
      </c>
      <c r="G10" s="2">
        <f>D10*F10</f>
        <v/>
      </c>
      <c r="H10" s="2">
        <f>IF(D10&gt;E10,"过多",IF(D10&lt;E10,"需补货","正常"))</f>
        <v/>
      </c>
    </row>
    <row r="11">
      <c r="A11" t="inlineStr">
        <is>
          <t>P010</t>
        </is>
      </c>
      <c r="B11" t="inlineStr">
        <is>
          <t>墨盒(黑)</t>
        </is>
      </c>
      <c r="C11" t="inlineStr">
        <is>
          <t>耗材</t>
        </is>
      </c>
      <c r="D11" t="n">
        <v>60</v>
      </c>
      <c r="E11" t="n">
        <v>40</v>
      </c>
      <c r="F11" s="2" t="n">
        <v>159</v>
      </c>
      <c r="G11" s="2">
        <f>D11*F11</f>
        <v/>
      </c>
      <c r="H11" s="2">
        <f>IF(D11&gt;E11,"过多",IF(D11&lt;E11,"需补货","正常"))</f>
        <v/>
      </c>
    </row>
    <row r="12">
      <c r="A12" t="inlineStr">
        <is>
          <t>P011</t>
        </is>
      </c>
      <c r="B12" t="inlineStr">
        <is>
          <t>硒鼓</t>
        </is>
      </c>
      <c r="C12" t="inlineStr">
        <is>
          <t>耗材</t>
        </is>
      </c>
      <c r="D12" t="n">
        <v>25</v>
      </c>
      <c r="E12" t="n">
        <v>30</v>
      </c>
      <c r="F12" s="2" t="n">
        <v>349</v>
      </c>
      <c r="G12" s="2">
        <f>D12*F12</f>
        <v/>
      </c>
      <c r="H12" s="2">
        <f>IF(D12&gt;E12,"过多",IF(D12&lt;E12,"需补货","正常"))</f>
        <v/>
      </c>
    </row>
    <row r="13">
      <c r="A13" t="inlineStr">
        <is>
          <t>P012</t>
        </is>
      </c>
      <c r="B13" t="inlineStr">
        <is>
          <t>打印纸A3</t>
        </is>
      </c>
      <c r="C13" t="inlineStr">
        <is>
          <t>耗材</t>
        </is>
      </c>
      <c r="D13" t="n">
        <v>80</v>
      </c>
      <c r="E13" t="n">
        <v>40</v>
      </c>
      <c r="F13" s="2" t="n">
        <v>42</v>
      </c>
      <c r="G13" s="2">
        <f>D13*F13</f>
        <v/>
      </c>
      <c r="H13" s="2">
        <f>IF(D13&gt;E13,"过多",IF(D13&lt;E13,"需补货","正常"))</f>
        <v/>
      </c>
    </row>
    <row r="14">
      <c r="A14" t="inlineStr">
        <is>
          <t>P013</t>
        </is>
      </c>
      <c r="B14" t="inlineStr">
        <is>
          <t>色带</t>
        </is>
      </c>
      <c r="C14" t="inlineStr">
        <is>
          <t>耗材</t>
        </is>
      </c>
      <c r="D14" t="n">
        <v>15</v>
      </c>
      <c r="E14" t="n">
        <v>25</v>
      </c>
      <c r="F14" s="2" t="n">
        <v>68</v>
      </c>
      <c r="G14" s="2">
        <f>D14*F14</f>
        <v/>
      </c>
      <c r="H14" s="2">
        <f>IF(D14&gt;E14,"过多",IF(D14&lt;E14,"需补货","正常"))</f>
        <v/>
      </c>
    </row>
    <row r="15">
      <c r="A15" t="inlineStr">
        <is>
          <t>P014</t>
        </is>
      </c>
      <c r="B15" t="inlineStr">
        <is>
          <t>标签纸</t>
        </is>
      </c>
      <c r="C15" t="inlineStr">
        <is>
          <t>耗材</t>
        </is>
      </c>
      <c r="D15" t="n">
        <v>200</v>
      </c>
      <c r="E15" t="n">
        <v>80</v>
      </c>
      <c r="F15" s="2" t="n">
        <v>12.5</v>
      </c>
      <c r="G15" s="2">
        <f>D15*F15</f>
        <v/>
      </c>
      <c r="H15" s="2">
        <f>IF(D15&gt;E15,"过多",IF(D15&lt;E15,"需补货","正常"))</f>
        <v/>
      </c>
    </row>
    <row r="16">
      <c r="A16" t="inlineStr">
        <is>
          <t>P015</t>
        </is>
      </c>
      <c r="B16" t="inlineStr">
        <is>
          <t>封箱胶带</t>
        </is>
      </c>
      <c r="C16" t="inlineStr">
        <is>
          <t>耗材</t>
        </is>
      </c>
      <c r="D16" t="n">
        <v>90</v>
      </c>
      <c r="E16" t="n">
        <v>50</v>
      </c>
      <c r="F16" s="2" t="n">
        <v>6.8</v>
      </c>
      <c r="G16" s="2">
        <f>D16*F16</f>
        <v/>
      </c>
      <c r="H16" s="2">
        <f>IF(D16&gt;E16,"过多",IF(D16&lt;E16,"需补货","正常"))</f>
        <v/>
      </c>
    </row>
    <row r="18">
      <c r="A18" s="3" t="inlineStr">
        <is>
          <t>统计区</t>
        </is>
      </c>
    </row>
    <row r="19">
      <c r="A19" t="inlineStr">
        <is>
          <t>需补货商品数</t>
        </is>
      </c>
    </row>
    <row r="20">
      <c r="A20" t="inlineStr">
        <is>
          <t>电子设备库存总金额</t>
        </is>
      </c>
    </row>
    <row r="21">
      <c r="A21" t="inlineStr">
        <is>
          <t>单价最高的商品名称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2026-09-16T23:02:27Z</dcterms:created>
  <dcterms:modified xmlns:dcterms="http://purl.org/dc/terms/" xmlns:xsi="http://www.w3.org/2001/XMLSchema-instance" xsi:type="dcterms:W3CDTF">2026-09-18T13:44:50Z</dcterms:modified>
</cp:coreProperties>
</file>